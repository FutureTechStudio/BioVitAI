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7134ed7be848da" /></Relationships>
</file>

<file path=xl/workbook.xml><?xml version="1.0" encoding="UTF-8"?><x:workbook xmlns:x="http://schemas.openxmlformats.org/spreadsheetml/2006/main"><x:sheets><x:sheet xmlns:r="http://schemas.openxmlformats.org/officeDocument/2006/relationships" name="Dashboard" sheetId="1" r:id="Rb61ede562ffb43de"/><x:sheet xmlns:r="http://schemas.openxmlformats.org/officeDocument/2006/relationships" name="Tasks" sheetId="2" r:id="R45668e30ceb14a4d"/><x:sheet xmlns:r="http://schemas.openxmlformats.org/officeDocument/2006/relationships" name="Phases" sheetId="3" r:id="R7cba5b612914497d"/><x:sheet xmlns:r="http://schemas.openxmlformats.org/officeDocument/2006/relationships" name="Decisions" sheetId="4" r:id="Rec68ed25c01249c4"/><x:sheet xmlns:r="http://schemas.openxmlformats.org/officeDocument/2006/relationships" name="Dependencies" sheetId="5" r:id="R696fc783942d4219"/><sheet name="BioFlow" sheetId="6" r:id="rIdBioFlow"/></x:sheets></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4">
    <x:font>
      <x:sz val="11"/>
      <x:name val="Carlito"/>
    </x:font>
    <x:font>
      <x:b/>
      <x:sz val="11"/>
      <x:color rgb="FFFFFFFF"/>
      <x:name val="Carlito"/>
    </x:font>
    <x:font>
      <x:b/>
      <x:sz val="16"/>
      <x:color rgb="FFFFFFFF"/>
      <x:name val="Carlito"/>
    </x:font>
    <x:font>
      <x:i/>
      <x:sz val="11"/>
      <x:color rgb="FF13243A"/>
      <x:name val="Carlito"/>
    </x:font>
    <x:font>
      <x:b/>
      <x:sz val="10"/>
      <x:color rgb="FF13243A"/>
      <x:name val="Carlito"/>
    </x:font>
    <x:font>
      <x:b/>
      <x:sz val="23"/>
      <x:color rgb="FF117E78"/>
      <x:name val="Carlito"/>
    </x:font>
    <x:font>
      <x:b/>
      <x:sz val="11"/>
      <x:color rgb="FF13243A"/>
      <x:name val="Carlito"/>
    </x:font>
    <x:font>
      <x:sz val="11"/>
      <x:name val="Carlito"/>
    </x:font>
    <x:font>
      <x:sz val="11"/>
      <x:name val="Arial"/>
    </x:font>
    <x:font>
      <x:sz val="17"/>
      <x:name val="Arial"/>
    </x:font>
    <x:font>
      <x:b/>
      <x:sz val="17"/>
      <x:name val="Arial"/>
    </x:font>
    <x:font>
      <x:sz val="11"/>
      <x:color rgb="FFFFFFFF"/>
      <x:name val="Arial"/>
    </x:font>
    <x:font>
      <x:b/>
      <x:sz val="11"/>
      <x:color rgb="FFFFFFFF"/>
      <x:name val="Arial"/>
    </x:font>
    <x:font>
      <x:sz val="10"/>
      <x:name val="Arial"/>
    </x:font>
  </x:fonts>
  <x:fills count="10">
    <x:fill>
      <x:patternFill patternType="none"/>
    </x:fill>
    <x:fill>
      <x:patternFill patternType="gray125"/>
    </x:fill>
    <x:fill>
      <x:patternFill patternType="solid">
        <x:fgColor rgb="FF13243A"/>
      </x:patternFill>
    </x:fill>
    <x:fill>
      <x:patternFill patternType="solid">
        <x:fgColor rgb="FFE8F4F5"/>
      </x:patternFill>
    </x:fill>
    <x:fill>
      <x:patternFill patternType="solid">
        <x:fgColor rgb="FFD9E9ED"/>
      </x:patternFill>
    </x:fill>
    <x:fill>
      <x:patternFill patternType="solid">
        <x:fgColor rgb="FFF6FAFB"/>
      </x:patternFill>
    </x:fill>
    <x:fill>
      <x:patternFill patternType="solid">
        <x:fgColor rgb="FFDBEAF0"/>
      </x:patternFill>
    </x:fill>
    <x:fill>
      <x:patternFill patternType="none"/>
    </x:fill>
    <x:fill>
      <x:patternFill patternType="gray125"/>
    </x:fill>
    <x:fill>
      <x:patternFill patternType="solid">
        <x:fgColor rgb="FF087F82"/>
      </x:patternFill>
    </x:fill>
  </x:fills>
  <x:borders count="3">
    <x:border/>
    <x:border/>
    <x:border>
      <x:left/>
      <x:right/>
      <x:top/>
      <x:bottom/>
      <x:diagonal/>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0" fillId="6" borderId="1" xfId="0" applyNumberFormat="1" applyFont="1" applyFill="1" applyBorder="1"/>
    <x:xf numFmtId="0" fontId="6" fillId="6" borderId="1" xfId="0" applyNumberFormat="1" applyFont="1" applyFill="1" applyBorder="1"/>
    <x:xf numFmtId="0" fontId="7" fillId="7" borderId="2" xfId="0"/>
    <x:xf numFmtId="0" fontId="8" fillId="7" borderId="2" xfId="0" applyNumberFormat="1" applyFont="1" applyFill="1" applyBorder="1"/>
    <x:xf numFmtId="0" fontId="9" fillId="7" borderId="2" xfId="0" applyNumberFormat="1" applyFont="1" applyFill="1" applyBorder="1"/>
    <x:xf numFmtId="0" fontId="10" fillId="7" borderId="2" xfId="0" applyNumberFormat="1" applyFont="1" applyFill="1" applyBorder="1"/>
    <x:xf numFmtId="0" fontId="8" fillId="9" borderId="2" xfId="0" applyNumberFormat="1" applyFont="1" applyFill="1" applyBorder="1"/>
    <x:xf numFmtId="0" fontId="11" fillId="9" borderId="2" xfId="0" applyNumberFormat="1" applyFont="1" applyFill="1" applyBorder="1"/>
    <x:xf numFmtId="0" fontId="12" fillId="9" borderId="2" xfId="0" applyNumberFormat="1" applyFont="1" applyFill="1" applyBorder="1"/>
    <x:xf numFmtId="0" fontId="12" fillId="9" borderId="2" xfId="0" applyNumberFormat="1" applyFont="1" applyFill="1" applyBorder="1" applyAlignment="1">
      <x:alignment horizontal="center"/>
    </x:xf>
    <x:xf numFmtId="0" fontId="8" fillId="7" borderId="2" xfId="0" applyNumberFormat="1" applyFont="1" applyFill="1" applyBorder="1" applyAlignment="1">
      <x:alignment wrapText="1"/>
    </x:xf>
    <x:xf numFmtId="0" fontId="8" fillId="7" borderId="2" xfId="0" applyNumberFormat="1" applyFont="1" applyFill="1" applyBorder="1" applyAlignment="1">
      <x:alignment vertical="top" wrapText="1"/>
    </x:xf>
    <x:xf numFmtId="0" fontId="13" fillId="7" borderId="2" xfId="0" applyNumberFormat="1" applyFont="1" applyFill="1" applyBorder="1"/>
  </x:cellXfs>
  <x:cellStyles count="1">
    <x:cellStyle name="Normal" xfId="0"/>
  </x:cellStyles>
  <x:dxfs count="3">
    <x:dxf>
      <x:font>
        <x:color rgb="FF166534"/>
      </x:font>
      <x:fill>
        <x:patternFill>
          <x:bgColor rgb="FFD6F3E2"/>
        </x:patternFill>
      </x:fill>
    </x:dxf>
    <x:dxf>
      <x:font>
        <x:color rgb="FFA11919"/>
      </x:font>
      <x:fill>
        <x:patternFill>
          <x:bgColor rgb="FFFCE3E3"/>
        </x:patternFill>
      </x:fill>
    </x:dxf>
    <x:dxf>
      <x:font>
        <x:color rgb="FF92400E"/>
      </x:font>
      <x:fill>
        <x:patternFill>
          <x:bgColor rgb="FFFDE8C2"/>
        </x:patternFill>
      </x:fill>
    </x:dxf>
  </x:dxfs>
</x:styleSheet>
</file>

<file path=xl/_rels/workbook.xml.rels><?xml version="1.0" encoding="UTF-8"?><Relationships xmlns="http://schemas.openxmlformats.org/package/2006/relationships"><Relationship Type="http://schemas.openxmlformats.org/officeDocument/2006/relationships/styles" Target="/xl/styles.xml" Id="Rc73cfbaa3d4945de"/><Relationship Type="http://schemas.openxmlformats.org/officeDocument/2006/relationships/theme" Target="/xl/theme/theme1.xml" Id="R7376a160517942c1"/><Relationship Type="http://schemas.openxmlformats.org/officeDocument/2006/relationships/sharedStrings" Target="/xl/sharedStrings.xml" Id="R48864ff799134547"/><Relationship Type="http://schemas.openxmlformats.org/officeDocument/2006/relationships/worksheet" Target="/xl/worksheets/sheet1.xml" Id="Rb61ede562ffb43de"/><Relationship Type="http://schemas.openxmlformats.org/officeDocument/2006/relationships/worksheet" Target="/xl/worksheets/sheet2.xml" Id="R45668e30ceb14a4d"/><Relationship Type="http://schemas.openxmlformats.org/officeDocument/2006/relationships/worksheet" Target="/xl/worksheets/sheet3.xml" Id="R7cba5b612914497d"/><Relationship Type="http://schemas.openxmlformats.org/officeDocument/2006/relationships/worksheet" Target="/xl/worksheets/sheet4.xml" Id="Rec68ed25c01249c4"/><Relationship Type="http://schemas.openxmlformats.org/officeDocument/2006/relationships/worksheet" Target="/xl/worksheets/sheet5.xml" Id="R696fc783942d4219"/><Relationship Id="rIdBioFlow" Type="http://schemas.openxmlformats.org/officeDocument/2006/relationships/worksheet" Target="worksheets/sheet6.xml"/></Relationships>
</file>

<file path=xl/tables/table1.xml><?xml version="1.0" encoding="utf-8"?>
<x:table xmlns:x="http://schemas.openxmlformats.org/spreadsheetml/2006/main" id="1" name="BiovitTasks" displayName="BiovitTasks" ref="A1:O52" headerRowCount="1" totalsRowCount="0" totalsRowShown="0">
  <x:tableColumns count="15">
    <x:tableColumn id="1" name="ID"/>
    <x:tableColumn id="2" name="Phase"/>
    <x:tableColumn id="3" name="Workstream"/>
    <x:tableColumn id="4" name="Task"/>
    <x:tableColumn id="5" name="Owner Role"/>
    <x:tableColumn id="6" name="Priority"/>
    <x:tableColumn id="7" name="Estimate (days)"/>
    <x:tableColumn id="8" name="Dependencies"/>
    <x:tableColumn id="9" name="Status"/>
    <x:tableColumn id="10" name="Acceptance Criteria"/>
    <x:tableColumn id="11" name="Deliverable"/>
    <x:tableColumn id="12" name="Release Gate"/>
    <x:tableColumn id="13" name="Risk"/>
    <x:tableColumn id="14" name="Description"/>
    <x:tableColumn id="15" name="Notes"/>
  </x:tableColumns>
  <x:tableStyleInfo name="TableStyleMedium2" showFirstColumn="0" showLastColumn="0" showRowStripes="1" showColumnStripes="0"/>
</x:table>
</file>

<file path=xl/tables/table2.xml><?xml version="1.0" encoding="utf-8"?>
<x:table xmlns:x="http://schemas.openxmlformats.org/spreadsheetml/2006/main" id="2" name="BiovitPhases" displayName="BiovitPhases" ref="A1:K10" headerRowCount="1" totalsRowCount="0" totalsRowShown="0">
  <x:tableColumns count="11">
    <x:tableColumn id="1" name="Phase"/>
    <x:tableColumn id="2" name="Name"/>
    <x:tableColumn id="3" name="Start Week"/>
    <x:tableColumn id="4" name="End Week"/>
    <x:tableColumn id="5" name="Duration (weeks)"/>
    <x:tableColumn id="6" name="Scope"/>
    <x:tableColumn id="7" name="Task Count"/>
    <x:tableColumn id="8" name="Critical P0"/>
    <x:tableColumn id="9" name="Gate"/>
    <x:tableColumn id="10" name="Status"/>
    <x:tableColumn id="11" name="Completion %"/>
  </x:tableColumns>
  <x:tableStyleInfo name="TableStyleMedium2" showFirstColumn="0" showLastColumn="0" showRowStripes="1" showColumnStripes="0"/>
</x:table>
</file>

<file path=xl/tables/table3.xml><?xml version="1.0" encoding="utf-8"?>
<x:table xmlns:x="http://schemas.openxmlformats.org/spreadsheetml/2006/main" id="3" name="BiovitDecisions" displayName="BiovitDecisions" ref="A1:F11" headerRowCount="1" totalsRowCount="0" totalsRowShown="0">
  <x:tableColumns count="6">
    <x:tableColumn id="1" name="ID"/>
    <x:tableColumn id="2" name="Decision"/>
    <x:tableColumn id="3" name="Owner Role"/>
    <x:tableColumn id="4" name="Due Gate"/>
    <x:tableColumn id="5" name="Status"/>
    <x:tableColumn id="6" name="Notes"/>
  </x:tableColumns>
  <x:tableStyleInfo name="TableStyleMedium2" showFirstColumn="0" showLastColumn="0" showRowStripes="1" showColumnStripes="0"/>
</x:table>
</file>

<file path=xl/tables/table4.xml><?xml version="1.0" encoding="utf-8"?>
<x:table xmlns:x="http://schemas.openxmlformats.org/spreadsheetml/2006/main" id="4" name="BiovitDependencies" displayName="BiovitDependencies" ref="A1:E97" headerRowCount="1" totalsRowCount="0" totalsRowShown="0">
  <x:tableColumns count="5">
    <x:tableColumn id="1" name="Prerequisite Task"/>
    <x:tableColumn id="2" name="Blocked Task"/>
    <x:tableColumn id="3" name="Downstream Work"/>
    <x:tableColumn id="4" name="Phase"/>
    <x:tableColumn id="5" name="Priorit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2245c1c34344ea" /></Relationships>
</file>

<file path=xl/worksheets/_rels/sheet3.xml.rels>&#65279;<?xml version="1.0" encoding="utf-8"?><Relationships xmlns="http://schemas.openxmlformats.org/package/2006/relationships"><Relationship Type="http://schemas.openxmlformats.org/officeDocument/2006/relationships/table" Target="/xl/tables/table2.xml" Id="R7e752e5aad7f4895" /></Relationships>
</file>

<file path=xl/worksheets/_rels/sheet4.xml.rels>&#65279;<?xml version="1.0" encoding="utf-8"?><Relationships xmlns="http://schemas.openxmlformats.org/package/2006/relationships"><Relationship Type="http://schemas.openxmlformats.org/officeDocument/2006/relationships/table" Target="/xl/tables/table3.xml" Id="R0bfdc0eb09b041a2" /></Relationships>
</file>

<file path=xl/worksheets/_rels/sheet5.xml.rels>&#65279;<?xml version="1.0" encoding="utf-8"?><Relationships xmlns="http://schemas.openxmlformats.org/package/2006/relationships"><Relationship Type="http://schemas.openxmlformats.org/officeDocument/2006/relationships/table" Target="/xl/tables/table4.xml" Id="R2a2b14bf2c7242c1" /></Relationships>
</file>

<file path=xl/worksheets/sheet1.xml><?xml version="1.0" encoding="utf-8"?>
<x:worksheet xmlns:x="http://schemas.openxmlformats.org/spreadsheetml/2006/main">
  <x:sheetFormatPr defaultRowHeight="15"/>
  <x:cols>
    <x:col min="1" max="1" width="21" hidden="0" customWidth="1"/>
    <x:col min="2" max="2" width="15" hidden="0" customWidth="1"/>
    <x:col min="3" max="3" width="15" hidden="0" customWidth="1"/>
    <x:col min="4" max="4" width="15" hidden="0" customWidth="1"/>
    <x:col min="5" max="5" width="15" hidden="0" customWidth="1"/>
    <x:col min="6" max="6" width="15" hidden="0" customWidth="1"/>
    <x:col min="7" max="7" width="23" hidden="0" customWidth="1"/>
    <x:col min="8" max="8" width="15" hidden="0" customWidth="1"/>
  </x:cols>
  <x:sheetData>
    <x:row r="1" ht="36" customHeight="1">
      <x:c r="A1" s="16" t="str">
        <x:v>BIOVITAI  |  V2.1 DELIVERY CONTROL</x:v>
      </x:c>
      <x:c r="B1" s="16"/>
      <x:c r="C1" s="16"/>
      <x:c r="D1" s="16"/>
      <x:c r="E1" s="16"/>
      <x:c r="F1" s="16"/>
      <x:c r="G1" s="16"/>
      <x:c r="H1" s="16"/>
    </x:row>
    <x:row r="2" ht="29" customHeight="1">
      <x:c r="A2" s="19" t="str">
        <x:v>3 tabs • Modular monolith • AI Gateway • Evidence first • Phase gates</x:v>
      </x:c>
      <x:c r="B2" s="19"/>
      <x:c r="C2" s="19"/>
      <x:c r="D2" s="19"/>
      <x:c r="E2" s="19"/>
      <x:c r="F2" s="19"/>
      <x:c r="G2" s="19"/>
      <x:c r="H2" s="19"/>
    </x:row>
    <x:row r="4" ht="27" customHeight="1">
      <x:c r="A4" s="24" t="str">
        <x:v>TOTAL TASKS</x:v>
      </x:c>
      <x:c r="B4" s="24"/>
      <x:c r="C4" s="24" t="str">
        <x:v>DONE</x:v>
      </x:c>
      <x:c r="D4" s="24"/>
      <x:c r="E4" s="24" t="str">
        <x:v>IN PROGRESS</x:v>
      </x:c>
      <x:c r="F4" s="24"/>
      <x:c r="G4" s="24" t="str">
        <x:v>BLOCKED</x:v>
      </x:c>
      <x:c r="H4" s="24"/>
    </x:row>
    <x:row r="5" ht="27" customHeight="1">
      <x:c r="A5" s="31" t="n">
        <x:f>COUNTA(Tasks!A2:A52)</x:f>
        <x:v>51</x:v>
      </x:c>
      <x:c r="B5" s="31"/>
      <x:c r="C5" s="31" t="n">
        <x:f>COUNTIF(Tasks!I2:I52,"Done")</x:f>
        <x:v>0</x:v>
      </x:c>
      <x:c r="D5" s="31"/>
      <x:c r="E5" s="31" t="n">
        <x:f>COUNTIF(Tasks!I2:I52,"In Progress")</x:f>
        <x:v>0</x:v>
      </x:c>
      <x:c r="F5" s="31"/>
      <x:c r="G5" s="31" t="n">
        <x:f>COUNTIF(Tasks!I2:I52,"Blocked")</x:f>
        <x:v>0</x:v>
      </x:c>
      <x:c r="H5" s="31"/>
    </x:row>
    <x:row r="6" ht="27" customHeight="1">
      <x:c r="A6" s="31"/>
      <x:c r="B6" s="31"/>
      <x:c r="C6" s="31"/>
      <x:c r="D6" s="31"/>
      <x:c r="E6" s="31"/>
      <x:c r="F6" s="31"/>
      <x:c r="G6" s="31"/>
      <x:c r="H6" s="31"/>
    </x:row>
    <x:row r="8" ht="28" customHeight="1">
      <x:c r="A8" s="3" t="str">
        <x:v>ROADMAP PROGRESS BY PHASE</x:v>
      </x:c>
      <x:c r="B8" s="3"/>
      <x:c r="C8" s="3"/>
      <x:c r="D8" s="3"/>
      <x:c r="E8" s="3"/>
      <x:c r="F8" s="3"/>
      <x:c r="G8" s="3"/>
      <x:c r="H8" s="3"/>
    </x:row>
    <x:row r="9">
      <x:c r="A9" s="37" t="str">
        <x:v>Phase</x:v>
      </x:c>
      <x:c r="B9" s="37" t="str">
        <x:v>Weeks</x:v>
      </x:c>
      <x:c r="C9" s="37" t="str">
        <x:v>Tasks</x:v>
      </x:c>
      <x:c r="D9" s="37" t="str">
        <x:v>Completion</x:v>
      </x:c>
      <x:c r="F9" s="37" t="str">
        <x:v>MILESTONE GATES</x:v>
      </x:c>
      <x:c r="G9" s="37"/>
      <x:c r="H9" s="37"/>
    </x:row>
    <x:row r="10">
      <x:c r="A10" t="str">
        <x:v>P0</x:v>
      </x:c>
      <x:c r="B10" t="str">
        <x:v>1–2</x:v>
      </x:c>
      <x:c r="C10" t="n">
        <x:f>COUNTIF(Tasks!B2:B52,A10)</x:f>
        <x:v>7</x:v>
      </x:c>
      <x:c r="D10" s="14" t="n">
        <x:f>IFERROR(COUNTIFS(Tasks!B2:B52,A10,Tasks!I2:I52,"Done")/C10,0)</x:f>
        <x:v>0</x:v>
      </x:c>
      <x:c r="F10" t="str">
        <x:v>M1</x:v>
      </x:c>
      <x:c r="G10" t="str">
        <x:v>P1 Secure profiles</x:v>
      </x:c>
    </x:row>
    <x:row r="11">
      <x:c r="A11" t="str">
        <x:v>P1</x:v>
      </x:c>
      <x:c r="B11" t="str">
        <x:v>3–5</x:v>
      </x:c>
      <x:c r="C11" t="n">
        <x:f>COUNTIF(Tasks!B2:B52,A11)</x:f>
        <x:v>6</x:v>
      </x:c>
      <x:c r="D11" s="14" t="n">
        <x:f>IFERROR(COUNTIFS(Tasks!B2:B52,A11,Tasks!I2:I52,"Done")/C11,0)</x:f>
        <x:v>0</x:v>
      </x:c>
      <x:c r="F11" t="str">
        <x:v>M2</x:v>
      </x:c>
      <x:c r="G11" t="str">
        <x:v>P3 Health v2</x:v>
      </x:c>
    </x:row>
    <x:row r="12">
      <x:c r="A12" t="str">
        <x:v>P2</x:v>
      </x:c>
      <x:c r="B12" t="str">
        <x:v>6–9</x:v>
      </x:c>
      <x:c r="C12" t="n">
        <x:f>COUNTIF(Tasks!B2:B52,A12)</x:f>
        <x:v>5</x:v>
      </x:c>
      <x:c r="D12" s="14" t="n">
        <x:f>IFERROR(COUNTIFS(Tasks!B2:B52,A12,Tasks!I2:I52,"Done")/C12,0)</x:f>
        <x:v>0</x:v>
      </x:c>
      <x:c r="F12" t="str">
        <x:v>M3</x:v>
      </x:c>
      <x:c r="G12" t="str">
        <x:v>P5 Private pilot</x:v>
      </x:c>
    </x:row>
    <x:row r="13">
      <x:c r="A13" t="str">
        <x:v>P3</x:v>
      </x:c>
      <x:c r="B13" t="str">
        <x:v>10–13</x:v>
      </x:c>
      <x:c r="C13" t="n">
        <x:f>COUNTIF(Tasks!B2:B52,A13)</x:f>
        <x:v>5</x:v>
      </x:c>
      <x:c r="D13" s="14" t="n">
        <x:f>IFERROR(COUNTIFS(Tasks!B2:B52,A13,Tasks!I2:I52,"Done")/C13,0)</x:f>
        <x:v>0</x:v>
      </x:c>
      <x:c r="F13" t="str">
        <x:v>M4</x:v>
      </x:c>
      <x:c r="G13" t="str">
        <x:v>P6 Wellness MVP</x:v>
      </x:c>
    </x:row>
    <x:row r="14">
      <x:c r="A14" t="str">
        <x:v>P4</x:v>
      </x:c>
      <x:c r="B14" t="str">
        <x:v>14–17</x:v>
      </x:c>
      <x:c r="C14" t="n">
        <x:f>COUNTIF(Tasks!B2:B52,A14)</x:f>
        <x:v>5</x:v>
      </x:c>
      <x:c r="D14" s="14" t="n">
        <x:f>IFERROR(COUNTIFS(Tasks!B2:B52,A14,Tasks!I2:I52,"Done")/C14,0)</x:f>
        <x:v>0</x:v>
      </x:c>
      <x:c r="F14" t="str">
        <x:v>M5</x:v>
      </x:c>
      <x:c r="G14" t="str">
        <x:v>P7 Read-only Community</x:v>
      </x:c>
    </x:row>
    <x:row r="15">
      <x:c r="A15" t="str">
        <x:v>P5</x:v>
      </x:c>
      <x:c r="B15" t="str">
        <x:v>18–20</x:v>
      </x:c>
      <x:c r="C15" t="n">
        <x:f>COUNTIF(Tasks!B2:B52,A15)</x:f>
        <x:v>4</x:v>
      </x:c>
      <x:c r="D15" s="14" t="n">
        <x:f>IFERROR(COUNTIFS(Tasks!B2:B52,A15,Tasks!I2:I52,"Done")/C15,0)</x:f>
        <x:v>0</x:v>
      </x:c>
      <x:c r="F15" t="str">
        <x:v>M6</x:v>
      </x:c>
      <x:c r="G15" t="str">
        <x:v>P8 Production rollout</x:v>
      </x:c>
    </x:row>
    <x:row r="16">
      <x:c r="A16" t="str">
        <x:v>P6</x:v>
      </x:c>
      <x:c r="B16" t="str">
        <x:v>21–24</x:v>
      </x:c>
      <x:c r="C16" t="n">
        <x:f>COUNTIF(Tasks!B2:B52,A16)</x:f>
        <x:v>9</x:v>
      </x:c>
      <x:c r="D16" s="14" t="n">
        <x:f>IFERROR(COUNTIFS(Tasks!B2:B52,A16,Tasks!I2:I52,"Done")/C16,0)</x:f>
        <x:v>0</x:v>
      </x:c>
    </x:row>
    <x:row r="17">
      <x:c r="A17" t="str">
        <x:v>P7</x:v>
      </x:c>
      <x:c r="B17" t="str">
        <x:v>25–28</x:v>
      </x:c>
      <x:c r="C17" t="n">
        <x:f>COUNTIF(Tasks!B2:B52,A17)</x:f>
        <x:v>5</x:v>
      </x:c>
      <x:c r="D17" s="14" t="n">
        <x:f>IFERROR(COUNTIFS(Tasks!B2:B52,A17,Tasks!I2:I52,"Done")/C17,0)</x:f>
        <x:v>0</x:v>
      </x:c>
    </x:row>
    <x:row r="18">
      <x:c r="A18" t="str">
        <x:v>P8</x:v>
      </x:c>
      <x:c r="B18" t="str">
        <x:v>29–31</x:v>
      </x:c>
      <x:c r="C18" t="n">
        <x:f>COUNTIF(Tasks!B2:B52,A18)</x:f>
        <x:v>5</x:v>
      </x:c>
      <x:c r="D18" s="14" t="n">
        <x:f>IFERROR(COUNTIFS(Tasks!B2:B52,A18,Tasks!I2:I52,"Done")/C18,0)</x:f>
        <x:v>0</x:v>
      </x:c>
    </x:row>
    <x:row r="20" ht="28" customHeight="1">
      <x:c r="A20" s="3" t="str">
        <x:v>IMPORTANT DELIVERY ASSUMPTIONS</x:v>
      </x:c>
      <x:c r="B20" s="3"/>
      <x:c r="C20" s="3"/>
      <x:c r="D20" s="3"/>
      <x:c r="E20" s="3"/>
      <x:c r="F20" s="3"/>
      <x:c r="G20" s="3"/>
      <x:c r="H20" s="3"/>
    </x:row>
    <x:row r="22" ht="26" customHeight="1">
      <x:c r="A22" t="str">
        <x:v>• 31-week phasing is indicative only; no dates or individuals have been committed.</x:v>
      </x:c>
    </x:row>
    <x:row r="23" ht="26" customHeight="1">
      <x:c r="A23" t="str">
        <x:v>• Tab 1 Health V2 remains intact; Tab 2 Wellness is the core new product; Tab 3 Community is gated.</x:v>
      </x:c>
    </x:row>
    <x:row r="24" ht="26" customHeight="1">
      <x:c r="A24" t="str">
        <x:v>• Agents use typed domain-service tools. AI Gateway alone calls external model providers.</x:v>
      </x:c>
    </x:row>
    <x:row r="25" ht="26" customHeight="1">
      <x:c r="A25" t="str">
        <x:v>• Clinical rules, eligibility decisions, consent and data lineage are deterministic and reviewed.</x:v>
      </x:c>
    </x:row>
    <x:row r="26" ht="26" customHeight="1">
      <x:c r="A26" t="str">
        <x:v>• All 51 tasks begin Backlog. Changing Status in Tasks updates this dashboard.</x:v>
      </x:c>
    </x:row>
    <x:row r="27" ht="26" customHeight="1">
      <x:c r="A27" t="str">
        <x:v>• The original v2 Markdown files were not present for direct merge; review additive docs 44–59.</x:v>
      </x:c>
    </x:row>
  </x:sheetData>
  <x:mergeCells>
    <x:mergeCell ref="A1:H1"/>
    <x:mergeCell ref="A2:H2"/>
    <x:mergeCell ref="A4:B4"/>
    <x:mergeCell ref="C4:D4"/>
    <x:mergeCell ref="E4:F4"/>
    <x:mergeCell ref="G4:H4"/>
    <x:mergeCell ref="A5:B6"/>
    <x:mergeCell ref="C5:D6"/>
    <x:mergeCell ref="E5:F6"/>
    <x:mergeCell ref="G5:H6"/>
    <x:mergeCell ref="A8:H8"/>
    <x:mergeCell ref="A20:H20"/>
    <x:mergeCell ref="A22:H22"/>
    <x:mergeCell ref="A23:H23"/>
    <x:mergeCell ref="A24:H24"/>
    <x:mergeCell ref="A25:H25"/>
    <x:mergeCell ref="A26:H26"/>
    <x:mergeCell ref="A27:H27"/>
    <x:mergeCell ref="F9:H9"/>
    <x:mergeCell ref="G10:H10"/>
    <x:mergeCell ref="G11:H11"/>
    <x:mergeCell ref="G12:H12"/>
    <x:mergeCell ref="G13:H13"/>
    <x:mergeCell ref="G14:H14"/>
    <x:mergeCell ref="G15:H15"/>
  </x:mergeCells>
  <x:conditionalFormatting sqref="D10:D18">
    <x:cfRule type="dataBar" priority="1">
      <x:dataBar>
        <x:cfvo type="min"/>
        <x:cfvo type="max"/>
        <x:color rgb="FF16A5A0"/>
      </x:dataBar>
      <x:extLst>
        <x:ext xmlns:x14="http://schemas.microsoft.com/office/spreadsheetml/2009/9/main" uri="{B025F937-C7B1-47D3-B67F-A62EFF666E3E}">
          <x14:id>{E5D2A047-4238-8741-E2B3-85669B88D1C8}</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16A5A0"/>
            </x14:dataBar>
          </x14:cfRule>
          <xm:sqref>D10:D18</xm:sqref>
        </x14:conditionalFormatting>
      </x14:conditionalFormattings>
    </x:ext>
  </x:extLst>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9" hidden="0" customWidth="1"/>
    <x:col min="3" max="3" width="18" hidden="0" customWidth="1"/>
    <x:col min="4" max="4" width="42" hidden="0" customWidth="1"/>
    <x:col min="5" max="5" width="19" hidden="0" customWidth="1"/>
    <x:col min="6" max="6" width="11" hidden="0" customWidth="1"/>
    <x:col min="7" max="7" width="16" hidden="0" customWidth="1"/>
    <x:col min="8" max="8" width="26" hidden="0" customWidth="1"/>
    <x:col min="9" max="9" width="16" hidden="0" customWidth="1"/>
    <x:col min="10" max="10" width="57" hidden="0" customWidth="1"/>
    <x:col min="11" max="11" width="27" hidden="0" customWidth="1"/>
    <x:col min="12" max="12" width="13" hidden="0" customWidth="1"/>
    <x:col min="13" max="13" width="12" hidden="0" customWidth="1"/>
    <x:col min="14" max="14" width="53" hidden="0" customWidth="1"/>
    <x:col min="15" max="15" width="75" hidden="0" customWidth="1"/>
  </x:cols>
  <x:sheetData>
    <x:row r="1" ht="30" customHeight="1">
      <x:c r="A1" s="4" t="str">
        <x:v>ID</x:v>
      </x:c>
      <x:c r="B1" s="4" t="str">
        <x:v>Phase</x:v>
      </x:c>
      <x:c r="C1" s="4" t="str">
        <x:v>Workstream</x:v>
      </x:c>
      <x:c r="D1" s="4" t="str">
        <x:v>Task</x:v>
      </x:c>
      <x:c r="E1" s="4" t="str">
        <x:v>Owner Role</x:v>
      </x:c>
      <x:c r="F1" s="4" t="str">
        <x:v>Priority</x:v>
      </x:c>
      <x:c r="G1" s="4" t="str">
        <x:v>Estimate (days)</x:v>
      </x:c>
      <x:c r="H1" s="4" t="str">
        <x:v>Dependencies</x:v>
      </x:c>
      <x:c r="I1" s="4" t="str">
        <x:v>Status</x:v>
      </x:c>
      <x:c r="J1" s="4" t="str">
        <x:v>Acceptance Criteria</x:v>
      </x:c>
      <x:c r="K1" s="4" t="str">
        <x:v>Deliverable</x:v>
      </x:c>
      <x:c r="L1" s="4" t="str">
        <x:v>Release Gate</x:v>
      </x:c>
      <x:c r="M1" s="4" t="str">
        <x:v>Risk</x:v>
      </x:c>
      <x:c r="N1" s="4" t="str">
        <x:v>Description</x:v>
      </x:c>
      <x:c r="O1" s="4" t="str">
        <x:v>Notes</x:v>
      </x:c>
    </x:row>
    <x:row r="2" ht="52.79999923706055" hidden="0" customHeight="1">
      <x:c r="A2" s="10" t="str">
        <x:v>BV-001</x:v>
      </x:c>
      <x:c r="B2" s="10" t="str">
        <x:v>P0</x:v>
      </x:c>
      <x:c r="C2" s="10" t="str">
        <x:v>Product</x:v>
      </x:c>
      <x:c r="D2" s="11" t="str">
        <x:v>Confirm 3-tab scope and navigation</x:v>
      </x:c>
      <x:c r="E2" s="11" t="str">
        <x:v>Product</x:v>
      </x:c>
      <x:c r="F2" s="11" t="str">
        <x:v>P0</x:v>
      </x:c>
      <x:c r="G2" s="10" t="n">
        <x:v>3</x:v>
      </x:c>
      <x:c r="H2" s="11" t="str"/>
      <x:c r="I2" s="11" t="str">
        <x:v>In Review</x:v>
      </x:c>
      <x:c r="J2" s="11" t="str">
        <x:v>Reviewed navigation spec and user journeys; Tab 3 posting out of MVP</x:v>
      </x:c>
      <x:c r="K2" s="11" t="str">
        <x:v>Signed UX scope</x:v>
      </x:c>
      <x:c r="L2" s="11" t="str">
        <x:v>P0</x:v>
      </x:c>
      <x:c r="M2" s="11" t="str">
        <x:v>Medium</x:v>
      </x:c>
      <x:c r="N2" s="11" t="str">
        <x:v>Freeze 3-tab boundaries and shared assistant behavior</x:v>
      </x:c>
      <x:c r="O2" s="11" t="str">
        <x:v>2026-10-21 foundation engineering closeout: Owner-confirmed three tabs, shared assistant/profile context and read-only Community; journeys reconciled with the implemented responsive shell and feature-flag checks. Evidence: docs/p0/FOUNDATION-CLOSEOUT.md. Formal Done/PR and deferred specialist approval are not claimed.</x:v>
      </x:c>
    </x:row>
    <x:row r="3" ht="52.79999923706055" hidden="0" customHeight="1">
      <x:c r="A3" s="10" t="str">
        <x:v>BV-002</x:v>
      </x:c>
      <x:c r="B3" s="10" t="str">
        <x:v>P0</x:v>
      </x:c>
      <x:c r="C3" s="10" t="str">
        <x:v>Architecture</x:v>
      </x:c>
      <x:c r="D3" s="11" t="str">
        <x:v>Approve modular-monolith ADR and repository topology</x:v>
      </x:c>
      <x:c r="E3" s="11" t="str">
        <x:v>Tech Lead</x:v>
      </x:c>
      <x:c r="F3" s="11" t="str">
        <x:v>P0</x:v>
      </x:c>
      <x:c r="G3" s="10" t="n">
        <x:v>3</x:v>
      </x:c>
      <x:c r="H3" s="11" t="str">
        <x:v>BV-001</x:v>
      </x:c>
      <x:c r="I3" s="11" t="str">
        <x:v>In Review</x:v>
      </x:c>
      <x:c r="J3" s="11" t="str">
        <x:v>ADR accepted; automated module import boundary test planned</x:v>
      </x:c>
      <x:c r="K3" s="11" t="str">
        <x:v>ADR-001</x:v>
      </x:c>
      <x:c r="L3" s="11" t="str">
        <x:v>P0</x:v>
      </x:c>
      <x:c r="M3" s="11" t="str">
        <x:v>Medium</x:v>
      </x:c>
      <x:c r="N3" s="11" t="str">
        <x:v>Define layered modules and forbidden dependencies</x:v>
      </x:c>
      <x:c r="O3" s="11" t="str">
        <x:v>2026-10-21 foundation engineering closeout: Owner-accepted TypeScript/Next.js/PostgreSQL modular monolith; ADR-001 reconciled with actual modules, reviewed transport and negative AST boundary checks. Evidence: docs/p0/FOUNDATION-CLOSEOUT.md. Formal Done/PR and deferred specialist approval are not claimed.</x:v>
      </x:c>
    </x:row>
    <x:row r="4" ht="66" hidden="0" customHeight="1">
      <x:c r="A4" s="10" t="str">
        <x:v>BV-003</x:v>
      </x:c>
      <x:c r="B4" s="10" t="str">
        <x:v>P0</x:v>
      </x:c>
      <x:c r="C4" s="10" t="str">
        <x:v>Privacy</x:v>
      </x:c>
      <x:c r="D4" s="11" t="str">
        <x:v>Complete profile and consent threat model</x:v>
      </x:c>
      <x:c r="E4" s="11" t="str">
        <x:v>Security/Privacy</x:v>
      </x:c>
      <x:c r="F4" s="11" t="str">
        <x:v>P0</x:v>
      </x:c>
      <x:c r="G4" s="10" t="n">
        <x:v>5</x:v>
      </x:c>
      <x:c r="H4" s="11" t="str">
        <x:v>BV-001</x:v>
      </x:c>
      <x:c r="I4" s="11" t="str">
        <x:v>In Review</x:v>
      </x:c>
      <x:c r="J4" s="11" t="str">
        <x:v>Profile boundary matrix and data flow approved</x:v>
      </x:c>
      <x:c r="K4" s="11" t="str">
        <x:v>Threat model</x:v>
      </x:c>
      <x:c r="L4" s="11" t="str">
        <x:v>P0</x:v>
      </x:c>
      <x:c r="M4" s="11" t="str">
        <x:v>High</x:v>
      </x:c>
      <x:c r="N4" s="11" t="str">
        <x:v>Map identity, family sharing, data processing and tool contexts</x:v>
      </x:c>
      <x:c r="O4" s="11" t="str">
        <x:v>2026-10-21 foundation engineering closeout: Profile/consent threat model reconciled with implemented session identity, exact scopes/consents, audit, revocation, private downloads and queued-job checks; planned controls remain explicit. Evidence: docs/p0/FOUNDATION-CLOSEOUT.md. Formal Done/PR and deferred specialist approval are not claimed.</x:v>
      </x:c>
    </x:row>
    <x:row r="5" ht="66" hidden="0" customHeight="1">
      <x:c r="A5" s="10" t="str">
        <x:v>BV-004</x:v>
      </x:c>
      <x:c r="B5" s="10" t="str">
        <x:v>P0</x:v>
      </x:c>
      <x:c r="C5" s="10" t="str">
        <x:v>Clinical</x:v>
      </x:c>
      <x:c r="D5" s="11" t="str">
        <x:v>Appoint clinical/lab reviewer and define golden-set governance</x:v>
      </x:c>
      <x:c r="E5" s="11" t="str">
        <x:v>Product + Clinical</x:v>
      </x:c>
      <x:c r="F5" s="11" t="str">
        <x:v>P0</x:v>
      </x:c>
      <x:c r="G5" s="10" t="n">
        <x:v>3</x:v>
      </x:c>
      <x:c r="H5" s="11" t="str">
        <x:v>BV-001</x:v>
      </x:c>
      <x:c r="I5" s="11" t="str">
        <x:v>Backlog</x:v>
      </x:c>
      <x:c r="J5" s="11" t="str">
        <x:v>Named reviewer signoff path, escalation and evidence review method</x:v>
      </x:c>
      <x:c r="K5" s="11" t="str">
        <x:v>Clinical governance charter</x:v>
      </x:c>
      <x:c r="L5" s="11" t="str">
        <x:v>P0</x:v>
      </x:c>
      <x:c r="M5" s="11" t="str">
        <x:v>High</x:v>
      </x:c>
      <x:c r="N5" s="11" t="str">
        <x:v>Medical data and rule review owner</x:v>
      </x:c>
      <x:c r="O5" s="11" t="str">
        <x:v>2026-10-21 foundation engineering closeout: Governance charter prepared: independent reviewer/backup/escalation, synthetic fixture provenance/versioning and promotion/reapproval criteria. Reviewer appointment remains Backlog under the owner-authorized deferral; no appointment or signoff claimed. Evidence: docs/p0/FOUNDATION-CLOSEOUT.md. Formal Done/PR and deferred specialist approval are not claimed.</x:v>
      </x:c>
    </x:row>
    <x:row r="6" ht="66" hidden="0" customHeight="1">
      <x:c r="A6" s="10" t="str">
        <x:v>BV-005</x:v>
      </x:c>
      <x:c r="B6" s="10" t="str">
        <x:v>P0</x:v>
      </x:c>
      <x:c r="C6" s="10" t="str">
        <x:v>Platform</x:v>
      </x:c>
      <x:c r="D6" s="11" t="str">
        <x:v>Initialize monorepo, formatter, linting, test runner</x:v>
      </x:c>
      <x:c r="E6" s="11" t="str">
        <x:v>Platform</x:v>
      </x:c>
      <x:c r="F6" s="11" t="str">
        <x:v>P0</x:v>
      </x:c>
      <x:c r="G6" s="10" t="n">
        <x:v>4</x:v>
      </x:c>
      <x:c r="H6" s="11" t="str">
        <x:v>BV-002</x:v>
      </x:c>
      <x:c r="I6" s="11" t="str">
        <x:v>In Review</x:v>
      </x:c>
      <x:c r="J6" s="11" t="str">
        <x:v>Fresh install builds; baseline automated checks pass</x:v>
      </x:c>
      <x:c r="K6" s="11" t="str">
        <x:v>Monorepo skeleton</x:v>
      </x:c>
      <x:c r="L6" s="11" t="str">
        <x:v>P0</x:v>
      </x:c>
      <x:c r="M6" s="11" t="str">
        <x:v>Medium</x:v>
      </x:c>
      <x:c r="N6" s="11" t="str">
        <x:v>Developer standards and reproducible environment</x:v>
      </x:c>
      <x:c r="O6" s="11" t="str">
        <x:v>2026-10-21 foundation engineering closeout: Clean isolated npm ci, 41 Node 22 core/contract/client checks, optimized web build and development gate pass; Windows/Linux CI configured. Evidence-file existence and repository containment now enforced by gate. Evidence: docs/p0/FOUNDATION-CLOSEOUT.md. Formal Done/PR and deferred specialist approval are not claimed.</x:v>
      </x:c>
    </x:row>
    <x:row r="7" ht="66" hidden="0" customHeight="1">
      <x:c r="A7" s="10" t="str">
        <x:v>BV-006</x:v>
      </x:c>
      <x:c r="B7" s="10" t="str">
        <x:v>P0</x:v>
      </x:c>
      <x:c r="C7" s="10" t="str">
        <x:v>AI</x:v>
      </x:c>
      <x:c r="D7" s="11" t="str">
        <x:v>Approve Gateway and agent service contracts</x:v>
      </x:c>
      <x:c r="E7" s="11" t="str">
        <x:v>AI Lead</x:v>
      </x:c>
      <x:c r="F7" s="11" t="str">
        <x:v>P0</x:v>
      </x:c>
      <x:c r="G7" s="10" t="n">
        <x:v>3</x:v>
      </x:c>
      <x:c r="H7" s="11" t="str">
        <x:v>BV-002, BV-003</x:v>
      </x:c>
      <x:c r="I7" s="11" t="str">
        <x:v>In Review</x:v>
      </x:c>
      <x:c r="J7" s="11" t="str">
        <x:v>Gateway request/response type and provider abstraction reviewed</x:v>
      </x:c>
      <x:c r="K7" s="11" t="str">
        <x:v>ADR-002 / gateway interfaces</x:v>
      </x:c>
      <x:c r="L7" s="11" t="str">
        <x:v>P0</x:v>
      </x:c>
      <x:c r="M7" s="11" t="str">
        <x:v>Medium</x:v>
      </x:c>
      <x:c r="N7" s="11" t="str">
        <x:v>No direct LLM calls outside gateway</x:v>
      </x:c>
      <x:c r="O7" s="11" t="str">
        <x:v>2026-10-21 foundation engineering closeout: Versioned AI request/result/Gateway/provider/tool contracts implemented and negatively tested; ADR-002 reconciled. Runtime provider/Gateway services remain P4; specialist signoff remains deferred. Evidence: docs/p0/FOUNDATION-CLOSEOUT.md. Formal Done/PR and deferred specialist approval are not claimed.</x:v>
      </x:c>
    </x:row>
    <x:row r="8" ht="66" hidden="0" customHeight="1">
      <x:c r="A8" s="10" t="str">
        <x:v>BV-007</x:v>
      </x:c>
      <x:c r="B8" s="10" t="str">
        <x:v>P0</x:v>
      </x:c>
      <x:c r="C8" s="10" t="str">
        <x:v>Product</x:v>
      </x:c>
      <x:c r="D8" s="11" t="str">
        <x:v>Decide target jurisdiction, hosting, languages and minors scope</x:v>
      </x:c>
      <x:c r="E8" s="11" t="str">
        <x:v>Product + Legal</x:v>
      </x:c>
      <x:c r="F8" s="11" t="str">
        <x:v>P0</x:v>
      </x:c>
      <x:c r="G8" s="10" t="n">
        <x:v>4</x:v>
      </x:c>
      <x:c r="H8" s="11" t="str">
        <x:v>BV-003</x:v>
      </x:c>
      <x:c r="I8" s="11" t="str">
        <x:v>In Review</x:v>
      </x:c>
      <x:c r="J8" s="11" t="str">
        <x:v>Launch assumptions and legal-review owners documented</x:v>
      </x:c>
      <x:c r="K8" s="11" t="str">
        <x:v>Decision log signed</x:v>
      </x:c>
      <x:c r="L8" s="11" t="str">
        <x:v>P0</x:v>
      </x:c>
      <x:c r="M8" s="11" t="str">
        <x:v>High</x:v>
      </x:c>
      <x:c r="N8" s="11" t="str">
        <x:v>Record DEC-001/006/009 decisions</x:v>
      </x:c>
      <x:c r="O8" s="11" t="str">
        <x:v>2026-10-21 foundation engineering closeout: UAE/India, local synthetic-only PostgreSQL development, English first and accepted stack recorded. Production region/processor and minors/guardian decisions remain open; no production or minors functionality inferred. Evidence: docs/p0/FOUNDATION-CLOSEOUT.md. Formal Done/PR and deferred specialist approval are not claimed.</x:v>
      </x:c>
    </x:row>
    <x:row r="9" ht="52.79999923706055" hidden="0" customHeight="1">
      <x:c r="A9" s="10" t="str">
        <x:v>BV-008</x:v>
      </x:c>
      <x:c r="B9" s="10" t="str">
        <x:v>P1</x:v>
      </x:c>
      <x:c r="C9" s="10" t="str">
        <x:v>Identity</x:v>
      </x:c>
      <x:c r="D9" s="11" t="str">
        <x:v>Implement verified-email auth and sessions</x:v>
      </x:c>
      <x:c r="E9" s="11" t="str">
        <x:v>Backend</x:v>
      </x:c>
      <x:c r="F9" s="11" t="str">
        <x:v>P0</x:v>
      </x:c>
      <x:c r="G9" s="10" t="n">
        <x:v>6</x:v>
      </x:c>
      <x:c r="H9" s="11" t="str">
        <x:v>BV-005, BV-003</x:v>
      </x:c>
      <x:c r="I9" s="11" t="str">
        <x:v>In Review</x:v>
      </x:c>
      <x:c r="J9" s="11" t="str">
        <x:v>Invalid sessions rejected; revocation and authentication tests pass</x:v>
      </x:c>
      <x:c r="K9" s="11" t="str">
        <x:v>Identity API</x:v>
      </x:c>
      <x:c r="L9" s="11" t="str">
        <x:v>P1</x:v>
      </x:c>
      <x:c r="M9" s="11" t="str">
        <x:v>High</x:v>
      </x:c>
      <x:c r="N9" s="11" t="str">
        <x:v>Identity foundation and secure session lifecycle</x:v>
      </x:c>
      <x:c r="O9" s="11" t="str">
        <x:v>2026-10-20: Local Better Auth/PostgreSQL identity slice; verified-email requirement, database sessions, private local verification/reset capture, origin/body limits and revocation. Validated with real PostgreSQL and HTTP security tests; no external mail transport or production readiness claimed. Evidence: docs/engineering/IDENTITY-IMPLEMENTATION.md.</x:v>
      </x:c>
    </x:row>
    <x:row r="10" ht="66" hidden="0" customHeight="1">
      <x:c r="A10" s="10" t="str">
        <x:v>BV-009</x:v>
      </x:c>
      <x:c r="B10" s="10" t="str">
        <x:v>P1</x:v>
      </x:c>
      <x:c r="C10" s="10" t="str">
        <x:v>Identity</x:v>
      </x:c>
      <x:c r="D10" s="11" t="str">
        <x:v>Implement family profiles, authorization grants and audit</x:v>
      </x:c>
      <x:c r="E10" s="11" t="str">
        <x:v>Backend</x:v>
      </x:c>
      <x:c r="F10" s="11" t="str">
        <x:v>P0</x:v>
      </x:c>
      <x:c r="G10" s="10" t="n">
        <x:v>8</x:v>
      </x:c>
      <x:c r="H10" s="11" t="str">
        <x:v>BV-008, BV-003</x:v>
      </x:c>
      <x:c r="I10" s="11" t="str">
        <x:v>In Review</x:v>
      </x:c>
      <x:c r="J10" s="11" t="str">
        <x:v>Profile A cannot access B via API/worker/cache; revocation test passes</x:v>
      </x:c>
      <x:c r="K10" s="11" t="str">
        <x:v>Profile policy service</x:v>
      </x:c>
      <x:c r="L10" s="11" t="str">
        <x:v>P1</x:v>
      </x:c>
      <x:c r="M10" s="11" t="str">
        <x:v>High</x:v>
      </x:c>
      <x:c r="N10" s="11" t="str">
        <x:v>All profile-scoped access checks</x:v>
      </x:c>
      <x:c r="O10" s="11" t="str">
        <x:v>2026-10-20: Owner family-profile amendment: multiple managed profiles without email; optional private contact; later verified invitation; session-specific active context and stale-response guard. 25 baseline/client and 22 PostgreSQL/HTTP checks pass. Evidence: docs/engineering/PROFILE-CONTEXT.md. In Review: visible picker/screens and future worker/cache integrations remain pending.</x:v>
      </x:c>
    </x:row>
    <x:row r="11" ht="79.19999694824219" hidden="0" customHeight="1">
      <x:c r="A11" s="10" t="str">
        <x:v>BV-010</x:v>
      </x:c>
      <x:c r="B11" s="10" t="str">
        <x:v>P1</x:v>
      </x:c>
      <x:c r="C11" s="10" t="str">
        <x:v>Data</x:v>
      </x:c>
      <x:c r="D11" s="11" t="str">
        <x:v>Create canonical health schema and migrations</x:v>
      </x:c>
      <x:c r="E11" s="11" t="str">
        <x:v>Backend + Data</x:v>
      </x:c>
      <x:c r="F11" s="11" t="str">
        <x:v>P0</x:v>
      </x:c>
      <x:c r="G11" s="10" t="n">
        <x:v>7</x:v>
      </x:c>
      <x:c r="H11" s="11" t="str">
        <x:v>BV-005, BV-004</x:v>
      </x:c>
      <x:c r="I11" s="11" t="str">
        <x:v>In Review</x:v>
      </x:c>
      <x:c r="J11" s="11" t="str">
        <x:v>Schema stores comparator, specimen, method, dates and immutable raw field refs</x:v>
      </x:c>
      <x:c r="K11" s="11" t="str">
        <x:v>Health migrations</x:v>
      </x:c>
      <x:c r="L11" s="11" t="str">
        <x:v>P1</x:v>
      </x:c>
      <x:c r="M11" s="11" t="str">
        <x:v>High</x:v>
      </x:c>
      <x:c r="N11" s="11" t="str">
        <x:v>Atomic evidence model and provenance</x:v>
      </x:c>
      <x:c r="O11" s="11" t="str">
        <x:v>2026-10-20: Canonical health evidence migration: immutable document/page/raw fields, source/group/derived separation, comparator/specimen/method/date precision, identity-bound verification and sealed lineage. 31 core/contract tests and 33 real PostgreSQL/HTTP tests pass, including correction/publication race and restricted-role RLS. Local migration applied. Evidence: docs/engineering/HEALTH-SCHEMA.md. Upload/storage, clinical calculations and UI remain later work.</x:v>
      </x:c>
    </x:row>
    <x:row r="12" ht="79.19999694824219" hidden="0" customHeight="1">
      <x:c r="A12" s="10" t="str">
        <x:v>BV-011</x:v>
      </x:c>
      <x:c r="B12" s="10" t="str">
        <x:v>P1</x:v>
      </x:c>
      <x:c r="C12" s="10" t="str">
        <x:v>Platform</x:v>
      </x:c>
      <x:c r="D12" s="11" t="str">
        <x:v>Create object storage, signed access and async job framework</x:v>
      </x:c>
      <x:c r="E12" s="11" t="str">
        <x:v>Platform</x:v>
      </x:c>
      <x:c r="F12" s="11" t="str">
        <x:v>P0</x:v>
      </x:c>
      <x:c r="G12" s="10" t="n">
        <x:v>6</x:v>
      </x:c>
      <x:c r="H12" s="11" t="str">
        <x:v>BV-005, BV-003</x:v>
      </x:c>
      <x:c r="I12" s="11" t="str">
        <x:v>In Review</x:v>
      </x:c>
      <x:c r="J12" s="11" t="str">
        <x:v>Private object access; idempotent job demo; replay-safe event</x:v>
      </x:c>
      <x:c r="K12" s="11" t="str">
        <x:v>Storage + jobs</x:v>
      </x:c>
      <x:c r="L12" s="11" t="str">
        <x:v>P1</x:v>
      </x:c>
      <x:c r="M12" s="11" t="str">
        <x:v>Medium</x:v>
      </x:c>
      <x:c r="N12" s="11" t="str">
        <x:v>Upload storage, workers and outbox</x:v>
      </x:c>
      <x:c r="O12" s="11" t="str">
        <x:v>2026-10-20: Encrypted local private objects; authenticated session/profile-bound 60-second download tickets; atomic object/outbox/audit transaction; fenced leases, retries and replay-safe receipt job. 34 core/contract/client and 46 real PostgreSQL/HTTP checks pass; live migration, readiness and worker idle validated. Evidence: docs/engineering/STORAGE-JOBS.md. Synthetic fixture purpose only; upload/scanning/OCR, cloud roles/keys and production operations remain later work.</x:v>
      </x:c>
    </x:row>
    <x:row r="13" ht="92.4000015258789" hidden="0" customHeight="1">
      <x:c r="A13" s="10" t="str">
        <x:v>BV-012</x:v>
      </x:c>
      <x:c r="B13" s="10" t="str">
        <x:v>P1</x:v>
      </x:c>
      <x:c r="C13" s="10" t="str">
        <x:v>Frontend</x:v>
      </x:c>
      <x:c r="D13" s="11" t="str">
        <x:v>Build app shell, tabs, profile switch, auth screens</x:v>
      </x:c>
      <x:c r="E13" s="11" t="str">
        <x:v>Frontend</x:v>
      </x:c>
      <x:c r="F13" s="11" t="str">
        <x:v>P0</x:v>
      </x:c>
      <x:c r="G13" s="10" t="n">
        <x:v>7</x:v>
      </x:c>
      <x:c r="H13" s="11" t="str">
        <x:v>BV-001, BV-008</x:v>
      </x:c>
      <x:c r="I13" s="11" t="str">
        <x:v>In Review</x:v>
      </x:c>
      <x:c r="J13" s="11" t="str">
        <x:v>Three tabs usable with feature flags; profile indicator shown</x:v>
      </x:c>
      <x:c r="K13" s="11" t="str">
        <x:v>App shell</x:v>
      </x:c>
      <x:c r="L13" s="11" t="str">
        <x:v>P1</x:v>
      </x:c>
      <x:c r="M13" s="11" t="str">
        <x:v>Medium</x:v>
      </x:c>
      <x:c r="N13" s="11" t="str">
        <x:v>Accessible responsive global navigation</x:v>
      </x:c>
      <x:c r="O13" s="11" t="str">
        <x:v>2026-10-20: Next.js web shell with auth/reset screens, three responsive tabs, visible session profile picker, email-less family creation and later contact updates. 36 core/contract/client and 46 PostgreSQL/HTTP checks pass on Node 22; Chromium lifecycle acceptance and desktop/mobile visual checks pass, including delayed-switch clearing and Community-off isolation. Optimized web build and dependency audit pass. Evidence: docs/engineering/WEB-SHELL.md. Clinical upload/insights, AI conversations, sharing-management UI and mobile remain future work; formal review not claimed.</x:v>
      </x:c>
    </x:row>
    <x:row r="14" ht="92.4000015258789" hidden="0" customHeight="1">
      <x:c r="A14" s="10" t="str">
        <x:v>BV-013</x:v>
      </x:c>
      <x:c r="B14" s="10" t="str">
        <x:v>P1</x:v>
      </x:c>
      <x:c r="C14" s="10" t="str">
        <x:v>QA</x:v>
      </x:c>
      <x:c r="D14" s="11" t="str">
        <x:v>Set contract and permission integration tests</x:v>
      </x:c>
      <x:c r="E14" s="11" t="str">
        <x:v>QA</x:v>
      </x:c>
      <x:c r="F14" s="11" t="str">
        <x:v>P0</x:v>
      </x:c>
      <x:c r="G14" s="10" t="n">
        <x:v>5</x:v>
      </x:c>
      <x:c r="H14" s="11" t="str">
        <x:v>BV-009, BV-010, BV-011</x:v>
      </x:c>
      <x:c r="I14" s="11" t="str">
        <x:v>In Review</x:v>
      </x:c>
      <x:c r="J14" s="11" t="str">
        <x:v>Negative auth tests and schema contract tests run in CI</x:v>
      </x:c>
      <x:c r="K14" s="11" t="str">
        <x:v>CI suite</x:v>
      </x:c>
      <x:c r="L14" s="11" t="str">
        <x:v>P1</x:v>
      </x:c>
      <x:c r="M14" s="11" t="str">
        <x:v>High</x:v>
      </x:c>
      <x:c r="N14" s="11" t="str">
        <x:v>Test harness and CI gating</x:v>
      </x:c>
      <x:c r="O14" s="11" t="str">
        <x:v>2026-10-21: Strict public-response contracts, real viewer/outsider HTTP denials and self-contained browser gate with temporary PostgreSQL/API/optimized web builds. Node 22: 39 core/contract/client and 48 PostgreSQL/HTTP checks pass; 2 Chromium acceptance tests pass in each Community on/off state, including cross-account isolation and failed-switch clearing. CI configured for Windows/Linux; local cleanup verified. Evidence: docs/engineering/CONTRACT-PERMISSION-GATE.md. Hosted runs, branch protection and formal review are not claimed; future upload/OCR services must extend the suite.</x:v>
      </x:c>
    </x:row>
    <x:row r="15" ht="52.79999923706055" hidden="0" customHeight="1">
      <x:c r="A15" s="10" t="str">
        <x:v>BV-014</x:v>
      </x:c>
      <x:c r="B15" s="10" t="str">
        <x:v>P2</x:v>
      </x:c>
      <x:c r="C15" s="10" t="str">
        <x:v>Health</x:v>
      </x:c>
      <x:c r="D15" s="11" t="str">
        <x:v>Implement report upload and document identity quarantine</x:v>
      </x:c>
      <x:c r="E15" s="11" t="str">
        <x:v>Backend</x:v>
      </x:c>
      <x:c r="F15" s="11" t="str">
        <x:v>P0</x:v>
      </x:c>
      <x:c r="G15" s="10" t="n">
        <x:v>7</x:v>
      </x:c>
      <x:c r="H15" s="11" t="str">
        <x:v>BV-009, BV-010, BV-011</x:v>
      </x:c>
      <x:c r="I15" s="11" t="str">
        <x:v>In Review</x:v>
      </x:c>
      <x:c r="J15" s="11" t="str">
        <x:v>Upload belongs to selected profile; mismatched identity quarantined</x:v>
      </x:c>
      <x:c r="K15" s="11" t="str">
        <x:v>Upload API</x:v>
      </x:c>
      <x:c r="L15" s="11" t="str">
        <x:v>P2</x:v>
      </x:c>
      <x:c r="M15" s="11" t="str">
        <x:v>High</x:v>
      </x:c>
      <x:c r="N15" s="11" t="str">
        <x:v>Multi-page upload, scanning, metadata and ownership</x:v>
      </x:c>
      <x:c r="O15" s="11" t="str">
        <x:v>2026-10-21: Authenticated streaming uploads, immutable encrypted originals, profile digest deduplication, 20 MiB/50-page bounds and explicit identity quarantine implemented. Scanner outage and replay tests pass. Evidence: docs/engineering/P2-P5-IMPLEMENTATION.md and docs/pilot/REHEARSAL.md. Formal completion is not claimed.</x:v>
      </x:c>
    </x:row>
    <x:row r="16" ht="52.79999923706055" hidden="0" customHeight="1">
      <x:c r="A16" s="10" t="str">
        <x:v>BV-015</x:v>
      </x:c>
      <x:c r="B16" s="10" t="str">
        <x:v>P2</x:v>
      </x:c>
      <x:c r="C16" s="10" t="str">
        <x:v>Health</x:v>
      </x:c>
      <x:c r="D16" s="11" t="str">
        <x:v>Build OCR adapter and layout-aware extraction pipeline</x:v>
      </x:c>
      <x:c r="E16" s="11" t="str">
        <x:v>AI/Backend</x:v>
      </x:c>
      <x:c r="F16" s="11" t="str">
        <x:v>P0</x:v>
      </x:c>
      <x:c r="G16" s="10" t="n">
        <x:v>10</x:v>
      </x:c>
      <x:c r="H16" s="11" t="str">
        <x:v>BV-014, BV-006</x:v>
      </x:c>
      <x:c r="I16" s="11" t="str">
        <x:v>In Review</x:v>
      </x:c>
      <x:c r="J16" s="11" t="str">
        <x:v>Every field has source page/region where feasible; extraction version tracked</x:v>
      </x:c>
      <x:c r="K16" s="11" t="str">
        <x:v>Extraction worker</x:v>
      </x:c>
      <x:c r="L16" s="11" t="str">
        <x:v>P2</x:v>
      </x:c>
      <x:c r="M16" s="11" t="str">
        <x:v>High</x:v>
      </x:c>
      <x:c r="N16" s="11" t="str">
        <x:v>Page/box provenance and table relationships</x:v>
      </x:c>
      <x:c r="O16" s="11" t="str">
        <x:v>2026-10-21: Versioned fenced scan/extract jobs, local ClamAV and Tesseract, bounded PDF/image decoding and normalized page/region evidence implemented. Missing tools fail explicitly. Host uses OCR fallback for PDF text. Evidence: docs/engineering/P2-P5-IMPLEMENTATION.md and docs/pilot/REHEARSAL.md. Formal completion is not claimed.</x:v>
      </x:c>
    </x:row>
    <x:row r="17" ht="66" hidden="0" customHeight="1">
      <x:c r="A17" s="10" t="str">
        <x:v>BV-016</x:v>
      </x:c>
      <x:c r="B17" s="10" t="str">
        <x:v>P2</x:v>
      </x:c>
      <x:c r="C17" s="10" t="str">
        <x:v>Health</x:v>
      </x:c>
      <x:c r="D17" s="11" t="str">
        <x:v>Build human verification/correction UI</x:v>
      </x:c>
      <x:c r="E17" s="11" t="str">
        <x:v>Frontend</x:v>
      </x:c>
      <x:c r="F17" s="11" t="str">
        <x:v>P0</x:v>
      </x:c>
      <x:c r="G17" s="10" t="n">
        <x:v>7</x:v>
      </x:c>
      <x:c r="H17" s="11" t="str">
        <x:v>BV-015, BV-012</x:v>
      </x:c>
      <x:c r="I17" s="11" t="str">
        <x:v>In Review</x:v>
      </x:c>
      <x:c r="J17" s="11" t="str">
        <x:v>Correction history preserved, uncertain fields require review</x:v>
      </x:c>
      <x:c r="K17" s="11" t="str">
        <x:v>Verification screen</x:v>
      </x:c>
      <x:c r="L17" s="11" t="str">
        <x:v>P2</x:v>
      </x:c>
      <x:c r="M17" s="11" t="str">
        <x:v>High</x:v>
      </x:c>
      <x:c r="N17" s="11" t="str">
        <x:v>Confirm raw value/unit/interval/date before publication</x:v>
      </x:c>
      <x:c r="O17" s="11" t="str">
        <x:v>2026-10-21: Web/native identity verification, append-only corrections, manual region selection and source viewers implemented and exercised. Reference intervals retain chosen source-region links. Independently known metadata does not require guessing missing fields. Manual screen-reader review remains pending. Evidence: docs/engineering/P2-P5-IMPLEMENTATION.md and docs/pilot/REHEARSAL.md. Formal completion is not claimed.</x:v>
      </x:c>
    </x:row>
    <x:row r="18" ht="66" hidden="0" customHeight="1">
      <x:c r="A18" s="10" t="str">
        <x:v>BV-017</x:v>
      </x:c>
      <x:c r="B18" s="10" t="str">
        <x:v>P2</x:v>
      </x:c>
      <x:c r="C18" s="10" t="str">
        <x:v>Health</x:v>
      </x:c>
      <x:c r="D18" s="11" t="str">
        <x:v>Implement source observation storage and status changes</x:v>
      </x:c>
      <x:c r="E18" s="11" t="str">
        <x:v>Backend</x:v>
      </x:c>
      <x:c r="F18" s="11" t="str">
        <x:v>P0</x:v>
      </x:c>
      <x:c r="G18" s="10" t="n">
        <x:v>6</x:v>
      </x:c>
      <x:c r="H18" s="11" t="str">
        <x:v>BV-010, BV-015</x:v>
      </x:c>
      <x:c r="I18" s="11" t="str">
        <x:v>In Review</x:v>
      </x:c>
      <x:c r="J18" s="11" t="str">
        <x:v>No source field overwritten by derived value; auditable versioning</x:v>
      </x:c>
      <x:c r="K18" s="11" t="str">
        <x:v>Observation repository</x:v>
      </x:c>
      <x:c r="L18" s="11" t="str">
        <x:v>P2</x:v>
      </x:c>
      <x:c r="M18" s="11" t="str">
        <x:v>High</x:v>
      </x:c>
      <x:c r="N18" s="11" t="str">
        <x:v>Raw vs verified data boundary</x:v>
      </x:c>
      <x:c r="O18" s="11" t="str">
        <x:v>2026-10-21: Source observations, reference text/provenance, verification history and independently confirmed metadata are preserved across corrections. Withdrawals and explicit rerun/amendment relationships retain distinct sources. PostgreSQL isolation, immutability and invalidation checks pass. Evidence: docs/engineering/P2-P5-IMPLEMENTATION.md and docs/pilot/REHEARSAL.md. Formal completion is not claimed.</x:v>
      </x:c>
    </x:row>
    <x:row r="19" ht="66" hidden="0" customHeight="1">
      <x:c r="A19" s="10" t="str">
        <x:v>BV-018</x:v>
      </x:c>
      <x:c r="B19" s="10" t="str">
        <x:v>P2</x:v>
      </x:c>
      <x:c r="C19" s="10" t="str">
        <x:v>QA</x:v>
      </x:c>
      <x:c r="D19" s="11" t="str">
        <x:v>Build 50+ synthetic clinical extraction golden cases</x:v>
      </x:c>
      <x:c r="E19" s="11" t="str">
        <x:v>QA + Clinical</x:v>
      </x:c>
      <x:c r="F19" s="11" t="str">
        <x:v>P0</x:v>
      </x:c>
      <x:c r="G19" s="10" t="n">
        <x:v>6</x:v>
      </x:c>
      <x:c r="H19" s="11" t="str">
        <x:v>BV-015, BV-004</x:v>
      </x:c>
      <x:c r="I19" s="11" t="str">
        <x:v>In Review</x:v>
      </x:c>
      <x:c r="J19" s="11" t="str">
        <x:v>Expected raw field exact matches, identity conflict and failure states covered</x:v>
      </x:c>
      <x:c r="K19" s="11" t="str">
        <x:v>Extraction goldens</x:v>
      </x:c>
      <x:c r="L19" s="11" t="str">
        <x:v>P2</x:v>
      </x:c>
      <x:c r="M19" s="11" t="str">
        <x:v>High</x:v>
      </x:c>
      <x:c r="N19" s="11" t="str">
        <x:v>Diverse source variants, censored and corrected</x:v>
      </x:c>
      <x:c r="O19" s="11" t="str">
        <x:v>2026-10-21: 56 generated synthetic document goldens pass exact expected result fields and source-box checks. Identity conflicts, duplicate/amendment and failure cases also have integration coverage. Independent clinical corpus approval remains deferred. Evidence: docs/engineering/P2-P5-IMPLEMENTATION.md and docs/pilot/REHEARSAL.md. Formal completion is not claimed.</x:v>
      </x:c>
    </x:row>
    <x:row r="20" ht="66" hidden="0" customHeight="1">
      <x:c r="A20" s="10" t="str">
        <x:v>BV-019</x:v>
      </x:c>
      <x:c r="B20" s="10" t="str">
        <x:v>P3</x:v>
      </x:c>
      <x:c r="C20" s="10" t="str">
        <x:v>Clinical</x:v>
      </x:c>
      <x:c r="D20" s="11" t="str">
        <x:v>Implement comparability cohorts and controlled aggregation</x:v>
      </x:c>
      <x:c r="E20" s="11" t="str">
        <x:v>Health + Clinical</x:v>
      </x:c>
      <x:c r="F20" s="11" t="str">
        <x:v>P0</x:v>
      </x:c>
      <x:c r="G20" s="10" t="n">
        <x:v>10</x:v>
      </x:c>
      <x:c r="H20" s="11" t="str">
        <x:v>BV-017, BV-018</x:v>
      </x:c>
      <x:c r="I20" s="11" t="str">
        <x:v>In Review</x:v>
      </x:c>
      <x:c r="J20" s="11" t="str">
        <x:v>Zero known false merges on goldens; full provenance for derived values</x:v>
      </x:c>
      <x:c r="K20" s="11" t="str">
        <x:v>Comparability service</x:v>
      </x:c>
      <x:c r="L20" s="11" t="str">
        <x:v>P3</x:v>
      </x:c>
      <x:c r="M20" s="11" t="str">
        <x:v>High</x:v>
      </x:c>
      <x:c r="N20" s="11" t="str">
        <x:v>No averaging distinct lab results; provenance lineage</x:v>
      </x:c>
      <x:c r="O20" s="11" t="str">
        <x:v>2026-10-21: Conservative exact-context cohorts exclude unknown or incompatible concept/specimen/method/unit/date. Separate laboratory results are never averaged. Reviewed conversion and aggregation rules remain inactive. Evidence: docs/engineering/P2-P5-IMPLEMENTATION.md and docs/pilot/REHEARSAL.md. Formal completion is not claimed.</x:v>
      </x:c>
    </x:row>
    <x:row r="21" ht="52.79999923706055" hidden="0" customHeight="1">
      <x:c r="A21" s="10" t="str">
        <x:v>BV-020</x:v>
      </x:c>
      <x:c r="B21" s="10" t="str">
        <x:v>P3</x:v>
      </x:c>
      <x:c r="C21" s="10" t="str">
        <x:v>Health</x:v>
      </x:c>
      <x:c r="D21" s="11" t="str">
        <x:v>Implement versioned longitudinal biomarker trends</x:v>
      </x:c>
      <x:c r="E21" s="11" t="str">
        <x:v>Backend</x:v>
      </x:c>
      <x:c r="F21" s="11" t="str">
        <x:v>P0</x:v>
      </x:c>
      <x:c r="G21" s="10" t="n">
        <x:v>8</x:v>
      </x:c>
      <x:c r="H21" s="11" t="str">
        <x:v>BV-019</x:v>
      </x:c>
      <x:c r="I21" s="11" t="str">
        <x:v>In Review</x:v>
      </x:c>
      <x:c r="J21" s="11" t="str">
        <x:v>Time/specimen/method and comparators respected; corrections invalidate cache</x:v>
      </x:c>
      <x:c r="K21" s="11" t="str">
        <x:v>Trend API</x:v>
      </x:c>
      <x:c r="L21" s="11" t="str">
        <x:v>P3</x:v>
      </x:c>
      <x:c r="M21" s="11" t="str">
        <x:v>High</x:v>
      </x:c>
      <x:c r="N21" s="11" t="str">
        <x:v>Comparable, qualified trend histories</x:v>
      </x:c>
      <x:c r="O21" s="11" t="str">
        <x:v>2026-10-21: Source-linked longitudinal cohorts and exact-value tables implemented. Missing metadata and censored values are visibly excluded. Corrections and report withdrawal recompute effective evidence. Evidence: docs/engineering/P2-P5-IMPLEMENTATION.md and docs/pilot/REHEARSAL.md. Formal completion is not claimed.</x:v>
      </x:c>
    </x:row>
    <x:row r="22" ht="66" hidden="0" customHeight="1">
      <x:c r="A22" s="10" t="str">
        <x:v>BV-021</x:v>
      </x:c>
      <x:c r="B22" s="10" t="str">
        <x:v>P3</x:v>
      </x:c>
      <x:c r="C22" s="10" t="str">
        <x:v>Frontend</x:v>
      </x:c>
      <x:c r="D22" s="11" t="str">
        <x:v>Create health dashboard and report evidence drilldowns</x:v>
      </x:c>
      <x:c r="E22" s="11" t="str">
        <x:v>Frontend</x:v>
      </x:c>
      <x:c r="F22" s="11" t="str">
        <x:v>P1</x:v>
      </x:c>
      <x:c r="G22" s="10" t="n">
        <x:v>10</x:v>
      </x:c>
      <x:c r="H22" s="11" t="str">
        <x:v>BV-016, BV-020</x:v>
      </x:c>
      <x:c r="I22" s="11" t="str">
        <x:v>In Review</x:v>
      </x:c>
      <x:c r="J22" s="11" t="str">
        <x:v>Every displayed value has evidence link; no generic organ health score</x:v>
      </x:c>
      <x:c r="K22" s="11" t="str">
        <x:v>Health UI</x:v>
      </x:c>
      <x:c r="L22" s="11" t="str">
        <x:v>P3</x:v>
      </x:c>
      <x:c r="M22" s="11" t="str">
        <x:v>Medium</x:v>
      </x:c>
      <x:c r="N22" s="11" t="str">
        <x:v>Body map with verified vs not-assessed labels</x:v>
      </x:c>
      <x:c r="O22" s="11" t="str">
        <x:v>2026-10-21: Web/native summaries, exact-value chart alternatives, source drilldowns and an organ coverage diagram implemented. Native comparable trends and comparisons passed with generated verified sources. Organs remain not assessed without approved rules. Manual accessibility review pending. Evidence: docs/engineering/P2-P5-IMPLEMENTATION.md and docs/pilot/REHEARSAL.md. Formal completion is not claimed.</x:v>
      </x:c>
    </x:row>
    <x:row r="23" ht="52.79999923706055" hidden="0" customHeight="1">
      <x:c r="A23" s="10" t="str">
        <x:v>BV-022</x:v>
      </x:c>
      <x:c r="B23" s="10" t="str">
        <x:v>P3</x:v>
      </x:c>
      <x:c r="C23" s="10" t="str">
        <x:v>Health</x:v>
      </x:c>
      <x:c r="D23" s="11" t="str">
        <x:v>Implement cross-report comparison service</x:v>
      </x:c>
      <x:c r="E23" s="11" t="str">
        <x:v>Backend</x:v>
      </x:c>
      <x:c r="F23" s="11" t="str">
        <x:v>P0</x:v>
      </x:c>
      <x:c r="G23" s="10" t="n">
        <x:v>7</x:v>
      </x:c>
      <x:c r="H23" s="11" t="str">
        <x:v>BV-019, BV-020</x:v>
      </x:c>
      <x:c r="I23" s="11" t="str">
        <x:v>In Review</x:v>
      </x:c>
      <x:c r="J23" s="11" t="str">
        <x:v>Comparison excludes noncomparable results and cites both documents</x:v>
      </x:c>
      <x:c r="K23" s="11" t="str">
        <x:v>Comparison API</x:v>
      </x:c>
      <x:c r="L23" s="11" t="str">
        <x:v>P3</x:v>
      </x:c>
      <x:c r="M23" s="11" t="str">
        <x:v>High</x:v>
      </x:c>
      <x:c r="N23" s="11" t="str">
        <x:v>Safe marker matching, source differences</x:v>
      </x:c>
      <x:c r="O23" s="11" t="str">
        <x:v>2026-10-21: Versioned cross-report comparison API and web/native views preserve distinct results, cite both reports and explain excluded/unmatched results. Exact-context comparison tests pass. Evidence: docs/engineering/P2-P5-IMPLEMENTATION.md and docs/pilot/REHEARSAL.md. Formal completion is not claimed.</x:v>
      </x:c>
    </x:row>
    <x:row r="24" ht="52.79999923706055" hidden="0" customHeight="1">
      <x:c r="A24" s="10" t="str">
        <x:v>BV-023</x:v>
      </x:c>
      <x:c r="B24" s="10" t="str">
        <x:v>P3</x:v>
      </x:c>
      <x:c r="C24" s="10" t="str">
        <x:v>QA</x:v>
      </x:c>
      <x:c r="D24" s="11" t="str">
        <x:v>Validate clinical interpretations and provenance UX</x:v>
      </x:c>
      <x:c r="E24" s="11" t="str">
        <x:v>QA + Clinical</x:v>
      </x:c>
      <x:c r="F24" s="11" t="str">
        <x:v>P0</x:v>
      </x:c>
      <x:c r="G24" s="10" t="n">
        <x:v>7</x:v>
      </x:c>
      <x:c r="H24" s="11" t="str">
        <x:v>BV-021, BV-022</x:v>
      </x:c>
      <x:c r="I24" s="11" t="str">
        <x:v>In Review</x:v>
      </x:c>
      <x:c r="J24" s="11" t="str">
        <x:v>Goldens pass; ambiguities shown; source correction propagation tested</x:v>
      </x:c>
      <x:c r="K24" s="11" t="str">
        <x:v>P3 clinical gate</x:v>
      </x:c>
      <x:c r="L24" s="11" t="str">
        <x:v>P3</x:v>
      </x:c>
      <x:c r="M24" s="11" t="str">
        <x:v>High</x:v>
      </x:c>
      <x:c r="N24" s="11" t="str">
        <x:v>Clinical signoff on report and comparison goldens</x:v>
      </x:c>
      <x:c r="O24" s="11" t="str">
        <x:v>2026-10-21: Engineering provenance and correction propagation checks pass. Clinical interpretation is disabled. Independent clinical signoff on report/comparison goldens remains deferred and is not asserted. Evidence: docs/engineering/P2-P5-IMPLEMENTATION.md and docs/pilot/REHEARSAL.md. Formal completion is not claimed.</x:v>
      </x:c>
    </x:row>
    <x:row r="25" ht="79.19999694824219" hidden="0" customHeight="1">
      <x:c r="A25" s="10" t="str">
        <x:v>BV-024</x:v>
      </x:c>
      <x:c r="B25" s="10" t="str">
        <x:v>P4</x:v>
      </x:c>
      <x:c r="C25" s="10" t="str">
        <x:v>AI</x:v>
      </x:c>
      <x:c r="D25" s="11" t="str">
        <x:v>Implement provider-neutral AI Gateway</x:v>
      </x:c>
      <x:c r="E25" s="11" t="str">
        <x:v>AI/Platform</x:v>
      </x:c>
      <x:c r="F25" s="11" t="str">
        <x:v>P0</x:v>
      </x:c>
      <x:c r="G25" s="10" t="n">
        <x:v>9</x:v>
      </x:c>
      <x:c r="H25" s="11" t="str">
        <x:v>BV-006, BV-005</x:v>
      </x:c>
      <x:c r="I25" s="11" t="str">
        <x:v>In Review</x:v>
      </x:c>
      <x:c r="J25" s="11" t="str">
        <x:v>All SDK use isolated; schema invalid output fails safely; budgets observed</x:v>
      </x:c>
      <x:c r="K25" s="11" t="str">
        <x:v>AI Gateway</x:v>
      </x:c>
      <x:c r="L25" s="11" t="str">
        <x:v>P4</x:v>
      </x:c>
      <x:c r="M25" s="11" t="str">
        <x:v>High</x:v>
      </x:c>
      <x:c r="N25" s="11" t="str">
        <x:v>Policy, routing, minimization, schema, token budget</x:v>
      </x:c>
      <x:c r="O25" s="11" t="str">
        <x:v>2026-10-21: Provider-neutral Responses adapter uses strict schema, store:false and atomic US$5 daily reservations at Asia/Kolkata midnight. Authorization/evidence is checked again after reservation before dispatch. Mock outages, injection envelopes, comparators, citations and budget exhaustion pass. Live configuration pending. Evidence: docs/engineering/P2-P5-IMPLEMENTATION.md and docs/pilot/REHEARSAL.md. Formal completion is not claimed.</x:v>
      </x:c>
    </x:row>
    <x:row r="26" ht="52.79999923706055" hidden="0" customHeight="1">
      <x:c r="A26" s="10" t="str">
        <x:v>BV-025</x:v>
      </x:c>
      <x:c r="B26" s="10" t="str">
        <x:v>P4</x:v>
      </x:c>
      <x:c r="C26" s="10" t="str">
        <x:v>AI</x:v>
      </x:c>
      <x:c r="D26" s="11" t="str">
        <x:v>Implement permission-checked tool registry and adapters</x:v>
      </x:c>
      <x:c r="E26" s="11" t="str">
        <x:v>AI/Backend</x:v>
      </x:c>
      <x:c r="F26" s="11" t="str">
        <x:v>P0</x:v>
      </x:c>
      <x:c r="G26" s="10" t="n">
        <x:v>9</x:v>
      </x:c>
      <x:c r="H26" s="11" t="str">
        <x:v>BV-009, BV-022, BV-024</x:v>
      </x:c>
      <x:c r="I26" s="11" t="str">
        <x:v>In Review</x:v>
      </x:c>
      <x:c r="J26" s="11" t="str">
        <x:v>Tool allowlist enforced; profile isolation and timeout pass</x:v>
      </x:c>
      <x:c r="K26" s="11" t="str">
        <x:v>AI tools</x:v>
      </x:c>
      <x:c r="L26" s="11" t="str">
        <x:v>P4</x:v>
      </x:c>
      <x:c r="M26" s="11" t="str">
        <x:v>High</x:v>
      </x:c>
      <x:c r="N26" s="11" t="str">
        <x:v>Tools call health/wellness domain services, never database</x:v>
      </x:c>
      <x:c r="O26" s="11" t="str">
        <x:v>2026-10-21: Fixed permission-checked report/observation/trend/comparison/organ read tools implemented. No arbitrary URL, code execution or direct agent database access. Tool allowlist and isolation checks pass. Evidence: docs/engineering/P2-P5-IMPLEMENTATION.md and docs/pilot/REHEARSAL.md. Formal completion is not claimed.</x:v>
      </x:c>
    </x:row>
    <x:row r="27" ht="66" hidden="0" customHeight="1">
      <x:c r="A27" s="10" t="str">
        <x:v>BV-026</x:v>
      </x:c>
      <x:c r="B27" s="10" t="str">
        <x:v>P4</x:v>
      </x:c>
      <x:c r="C27" s="10" t="str">
        <x:v>AI</x:v>
      </x:c>
      <x:c r="D27" s="11" t="str">
        <x:v>Build context manifest and conversation orchestrator</x:v>
      </x:c>
      <x:c r="E27" s="11" t="str">
        <x:v>AI</x:v>
      </x:c>
      <x:c r="F27" s="11" t="str">
        <x:v>P0</x:v>
      </x:c>
      <x:c r="G27" s="10" t="n">
        <x:v>8</x:v>
      </x:c>
      <x:c r="H27" s="11" t="str">
        <x:v>BV-025</x:v>
      </x:c>
      <x:c r="I27" s="11" t="str">
        <x:v>In Review</x:v>
      </x:c>
      <x:c r="J27" s="11" t="str">
        <x:v>Relevant evidence retrieved without full raw report leakage</x:v>
      </x:c>
      <x:c r="K27" s="11" t="str">
        <x:v>Orchestrator</x:v>
      </x:c>
      <x:c r="L27" s="11" t="str">
        <x:v>P4</x:v>
      </x:c>
      <x:c r="M27" s="11" t="str">
        <x:v>High</x:v>
      </x:c>
      <x:c r="N27" s="11" t="str">
        <x:v>Filtered health context + tool plan</x:v>
      </x:c>
      <x:c r="O27" s="11" t="str">
        <x:v>2026-10-21: Encrypted profile conversations use minimized verified evidence and an analysis manifest with cohort IDs, exclusions, organ states and omission count. Session/account, permission, consent and evidence checks guard retrieval, dispatch and delivery. Replay, stale evidence and revocation checks pass. Evidence: docs/engineering/P2-P5-IMPLEMENTATION.md and docs/pilot/REHEARSAL.md. Formal completion is not claimed.</x:v>
      </x:c>
    </x:row>
    <x:row r="28" ht="66" hidden="0" customHeight="1">
      <x:c r="A28" s="10" t="str">
        <x:v>BV-027</x:v>
      </x:c>
      <x:c r="B28" s="10" t="str">
        <x:v>P4</x:v>
      </x:c>
      <x:c r="C28" s="10" t="str">
        <x:v>Frontend</x:v>
      </x:c>
      <x:c r="D28" s="11" t="str">
        <x:v>Build structured chat UI cards and citations</x:v>
      </x:c>
      <x:c r="E28" s="11" t="str">
        <x:v>Frontend</x:v>
      </x:c>
      <x:c r="F28" s="11" t="str">
        <x:v>P1</x:v>
      </x:c>
      <x:c r="G28" s="10" t="n">
        <x:v>8</x:v>
      </x:c>
      <x:c r="H28" s="11" t="str">
        <x:v>BV-026, BV-012</x:v>
      </x:c>
      <x:c r="I28" s="11" t="str">
        <x:v>In Review</x:v>
      </x:c>
      <x:c r="J28" s="11" t="str">
        <x:v>Rendering rejects arbitrary HTML and supports RTL/citations</x:v>
      </x:c>
      <x:c r="K28" s="11" t="str">
        <x:v>AI chat UI</x:v>
      </x:c>
      <x:c r="L28" s="11" t="str">
        <x:v>P4</x:v>
      </x:c>
      <x:c r="M28" s="11" t="str">
        <x:v>Medium</x:v>
      </x:c>
      <x:c r="N28" s="11" t="str">
        <x:v>Schema-validated components, accessible</x:v>
      </x:c>
      <x:c r="O28" s="11" t="str">
        <x:v>2026-10-21: Accessible plain-text web/native chat cards, consent controls and source navigation implemented. Native unavailable-provider and consent-withdrawal journeys pass. Shared validation rejects HTML/fabricated citations while preserving numeric comparators. Manual screen-reader review and live-provider checks pending. Evidence: docs/engineering/P2-P5-IMPLEMENTATION.md and docs/pilot/REHEARSAL.md. Formal completion is not claimed.</x:v>
      </x:c>
    </x:row>
    <x:row r="29" ht="66" hidden="0" customHeight="1">
      <x:c r="A29" s="10" t="str">
        <x:v>BV-028</x:v>
      </x:c>
      <x:c r="B29" s="10" t="str">
        <x:v>P4</x:v>
      </x:c>
      <x:c r="C29" s="10" t="str">
        <x:v>Security</x:v>
      </x:c>
      <x:c r="D29" s="11" t="str">
        <x:v>Run AI injection/PHI and provider regression suite</x:v>
      </x:c>
      <x:c r="E29" s="11" t="str">
        <x:v>QA + Security</x:v>
      </x:c>
      <x:c r="F29" s="11" t="str">
        <x:v>P0</x:v>
      </x:c>
      <x:c r="G29" s="10" t="n">
        <x:v>7</x:v>
      </x:c>
      <x:c r="H29" s="11" t="str">
        <x:v>BV-026, BV-027</x:v>
      </x:c>
      <x:c r="I29" s="11" t="str">
        <x:v>In Review</x:v>
      </x:c>
      <x:c r="J29" s="11" t="str">
        <x:v>All high-severity prompt injection/citation cases pass</x:v>
      </x:c>
      <x:c r="K29" s="11" t="str">
        <x:v>AI safety gate</x:v>
      </x:c>
      <x:c r="L29" s="11" t="str">
        <x:v>P4</x:v>
      </x:c>
      <x:c r="M29" s="11" t="str">
        <x:v>High</x:v>
      </x:c>
      <x:c r="N29" s="11" t="str">
        <x:v>Cross-profile, malicious PDF/post, fabricated source</x:v>
      </x:c>
      <x:c r="O29" s="11" t="str">
        <x:v>2026-10-21: Synthetic adapter envelope injection, citation fabrication, stale evidence, arbitrary tools, cross-profile access, account verification changes, consent withdrawal and provider-failure checks pass. No live adversarial-model trial or independent security approval is claimed. Evidence: docs/engineering/P2-P5-IMPLEMENTATION.md and docs/pilot/REHEARSAL.md. Formal completion is not claimed.</x:v>
      </x:c>
    </x:row>
    <x:row r="30" ht="52.79999923706055" hidden="0" customHeight="1">
      <x:c r="A30" s="10" t="str">
        <x:v>BV-029</x:v>
      </x:c>
      <x:c r="B30" s="10" t="str">
        <x:v>P5</x:v>
      </x:c>
      <x:c r="C30" s="10" t="str">
        <x:v>Pilot</x:v>
      </x:c>
      <x:c r="D30" s="11" t="str">
        <x:v>Create consented pilot protocol and qualitative interview plan</x:v>
      </x:c>
      <x:c r="E30" s="11" t="str">
        <x:v>Product + Clinical</x:v>
      </x:c>
      <x:c r="F30" s="11" t="str">
        <x:v>P0</x:v>
      </x:c>
      <x:c r="G30" s="10" t="n">
        <x:v>4</x:v>
      </x:c>
      <x:c r="H30" s="11" t="str">
        <x:v>BV-023, BV-028</x:v>
      </x:c>
      <x:c r="I30" s="11" t="str">
        <x:v>In Review</x:v>
      </x:c>
      <x:c r="J30" s="11" t="str">
        <x:v>Privacy, success criteria, participant rights documented</x:v>
      </x:c>
      <x:c r="K30" s="11" t="str">
        <x:v>Pilot protocol</x:v>
      </x:c>
      <x:c r="L30" s="11" t="str">
        <x:v>P5</x:v>
      </x:c>
      <x:c r="M30" s="11" t="str">
        <x:v>High</x:v>
      </x:c>
      <x:c r="N30" s="11" t="str">
        <x:v>Family pilot with safe synthetic/matched reports</x:v>
      </x:c>
      <x:c r="O30" s="11" t="str">
        <x:v>2026-10-21: Pilot protocol, participant instructions, feedback forms, interview plan, severity criteria and acceptance journeys documented. Actual participant entries and approvals remain empty. Evidence: docs/engineering/P2-P5-IMPLEMENTATION.md and docs/pilot/REHEARSAL.md. Formal completion is not claimed.</x:v>
      </x:c>
    </x:row>
    <x:row r="31" ht="79.19999694824219" hidden="0" customHeight="1">
      <x:c r="A31" s="10" t="str">
        <x:v>BV-030</x:v>
      </x:c>
      <x:c r="B31" s="10" t="str">
        <x:v>P5</x:v>
      </x:c>
      <x:c r="C31" s="10" t="str">
        <x:v>QA</x:v>
      </x:c>
      <x:c r="D31" s="11" t="str">
        <x:v>E2E user journeys and accessibility/l10n audit</x:v>
      </x:c>
      <x:c r="E31" s="11" t="str">
        <x:v>QA + UX</x:v>
      </x:c>
      <x:c r="F31" s="11" t="str">
        <x:v>P0</x:v>
      </x:c>
      <x:c r="G31" s="10" t="n">
        <x:v>8</x:v>
      </x:c>
      <x:c r="H31" s="11" t="str">
        <x:v>BV-029</x:v>
      </x:c>
      <x:c r="I31" s="11" t="str">
        <x:v>In Review</x:v>
      </x:c>
      <x:c r="J31" s="11" t="str">
        <x:v>Critical journeys pass; WCAG and Arabic/English defects triaged</x:v>
      </x:c>
      <x:c r="K31" s="11" t="str">
        <x:v>E2E report</x:v>
      </x:c>
      <x:c r="L31" s="11" t="str">
        <x:v>P5</x:v>
      </x:c>
      <x:c r="M31" s="11" t="str">
        <x:v>Medium</x:v>
      </x:c>
      <x:c r="N31" s="11" t="str">
        <x:v>Upload→verify→trend→chat; switching family</x:v>
      </x:c>
      <x:c r="O31" s="11" t="str">
        <x:v>2026-10-21: Web real-scanner/OCR journey, Axe, keyboard, large-text and RTL checks pass. Android authentication, family selection, upload/verification, source viewing, seeded comparisons/trends, unavailable AI/consent withdrawal and caregiver revocation/recovery pass. Native 150% text smoke passes. Full manual screen-reader/native RTL audit pending. Evidence: docs/engineering/P2-P5-IMPLEMENTATION.md and docs/pilot/REHEARSAL.md. Formal completion is not claimed.</x:v>
      </x:c>
    </x:row>
    <x:row r="32" ht="66" hidden="0" customHeight="1">
      <x:c r="A32" s="10" t="str">
        <x:v>BV-031</x:v>
      </x:c>
      <x:c r="B32" s="10" t="str">
        <x:v>P5</x:v>
      </x:c>
      <x:c r="C32" s="10" t="str">
        <x:v>Platform</x:v>
      </x:c>
      <x:c r="D32" s="11" t="str">
        <x:v>Instrument production-like observability and back-up restore</x:v>
      </x:c>
      <x:c r="E32" s="11" t="str">
        <x:v>Platform</x:v>
      </x:c>
      <x:c r="F32" s="11" t="str">
        <x:v>P0</x:v>
      </x:c>
      <x:c r="G32" s="10" t="n">
        <x:v>6</x:v>
      </x:c>
      <x:c r="H32" s="11" t="str">
        <x:v>BV-024, BV-011</x:v>
      </x:c>
      <x:c r="I32" s="11" t="str">
        <x:v>In Review</x:v>
      </x:c>
      <x:c r="J32" s="11" t="str">
        <x:v>Trace across worker/gateway; restore tested</x:v>
      </x:c>
      <x:c r="K32" s="11" t="str">
        <x:v>Pilot ops gate</x:v>
      </x:c>
      <x:c r="L32" s="11" t="str">
        <x:v>P5</x:v>
      </x:c>
      <x:c r="M32" s="11" t="str">
        <x:v>High</x:v>
      </x:c>
      <x:c r="N32" s="11" t="str">
        <x:v>PHI-safe telemetry, error budgets, restore drill</x:v>
      </x:c>
      <x:c r="O32" s="11" t="str">
        <x:v>2026-10-21: Scrubbed API/storage/worker/Gateway tracing and aggregate operations implemented. Real encrypted isolated restore verified originals, observations, sessions, permissions and key recovery. Current audit has 21 high and 14 moderate transitive advisories, which remain a readiness defect. Evidence: docs/engineering/P2-P5-IMPLEMENTATION.md and docs/pilot/REHEARSAL.md. Formal completion is not claimed.</x:v>
      </x:c>
    </x:row>
    <x:row r="33" ht="66" hidden="0" customHeight="1">
      <x:c r="A33" s="10" t="str">
        <x:v>BV-032</x:v>
      </x:c>
      <x:c r="B33" s="10" t="str">
        <x:v>P5</x:v>
      </x:c>
      <x:c r="C33" s="10" t="str">
        <x:v>Pilot</x:v>
      </x:c>
      <x:c r="D33" s="11" t="str">
        <x:v>Run controlled health + AI pilot and address defects</x:v>
      </x:c>
      <x:c r="E33" s="11" t="str">
        <x:v>Product + QA</x:v>
      </x:c>
      <x:c r="F33" s="11" t="str">
        <x:v>P0</x:v>
      </x:c>
      <x:c r="G33" s="10" t="n">
        <x:v>10</x:v>
      </x:c>
      <x:c r="H33" s="11" t="str">
        <x:v>BV-030, BV-031</x:v>
      </x:c>
      <x:c r="I33" s="11" t="str">
        <x:v>Backlog</x:v>
      </x:c>
      <x:c r="J33" s="11" t="str">
        <x:v>Pilot signoff and prioritized issues recorded</x:v>
      </x:c>
      <x:c r="K33" s="11" t="str">
        <x:v>M3 pilot report</x:v>
      </x:c>
      <x:c r="L33" s="11" t="str">
        <x:v>P5</x:v>
      </x:c>
      <x:c r="M33" s="11" t="str">
        <x:v>High</x:v>
      </x:c>
      <x:c r="N33" s="11" t="str">
        <x:v>No open severity-1/2 privacy or clinical defects</x:v>
      </x:c>
      <x:c r="O33" s="11" t="str">
        <x:v>2026-10-21: Automated synthetic rehearsals are recorded separately from human research. Actual participant feedback and pilot signoff remain absent. Dependency advisories, manual accessibility review and external approval/configuration gates remain open. Evidence: docs/engineering/P2-P5-IMPLEMENTATION.md and docs/pilot/REHEARSAL.md. Formal completion is not claimed.</x:v>
      </x:c>
    </x:row>
    <x:row r="34" ht="36" customHeight="1">
      <x:c r="A34" s="10" t="str">
        <x:v>BV-033</x:v>
      </x:c>
      <x:c r="B34" s="10" t="str">
        <x:v>P6</x:v>
      </x:c>
      <x:c r="C34" s="10" t="str">
        <x:v>Wellness</x:v>
      </x:c>
      <x:c r="D34" s="11" t="str">
        <x:v>Implement wellness profile, baseline and goal selection</x:v>
      </x:c>
      <x:c r="E34" s="11" t="str">
        <x:v>Wellness</x:v>
      </x:c>
      <x:c r="F34" s="11" t="str">
        <x:v>P0</x:v>
      </x:c>
      <x:c r="G34" s="10" t="n">
        <x:v>7</x:v>
      </x:c>
      <x:c r="H34" s="11" t="str">
        <x:v>BV-009, BV-012, BV-032</x:v>
      </x:c>
      <x:c r="I34" s="11" t="str">
        <x:v>Backlog</x:v>
      </x:c>
      <x:c r="J34" s="11" t="str">
        <x:v>Can start without labs/wearables; goals opt-in and editable</x:v>
      </x:c>
      <x:c r="K34" s="11" t="str">
        <x:v>Wellness profile/goal</x:v>
      </x:c>
      <x:c r="L34" s="11" t="str">
        <x:v>P6</x:v>
      </x:c>
      <x:c r="M34" s="11" t="str">
        <x:v>Medium</x:v>
      </x:c>
      <x:c r="N34" s="11" t="str">
        <x:v>Voluntary barriers/readiness and context</x:v>
      </x:c>
      <x:c r="O34" s="11" t="str"/>
    </x:row>
    <x:row r="35" ht="36" customHeight="1">
      <x:c r="A35" s="10" t="str">
        <x:v>BV-034</x:v>
      </x:c>
      <x:c r="B35" s="10" t="str">
        <x:v>P6</x:v>
      </x:c>
      <x:c r="C35" s="10" t="str">
        <x:v>Clinical</x:v>
      </x:c>
      <x:c r="D35" s="11" t="str">
        <x:v>Approve action catalogue and eligibility policies</x:v>
      </x:c>
      <x:c r="E35" s="11" t="str">
        <x:v>Clinical + Behavior</x:v>
      </x:c>
      <x:c r="F35" s="11" t="str">
        <x:v>P0</x:v>
      </x:c>
      <x:c r="G35" s="10" t="n">
        <x:v>10</x:v>
      </x:c>
      <x:c r="H35" s="11" t="str">
        <x:v>BV-004, BV-033</x:v>
      </x:c>
      <x:c r="I35" s="11" t="str">
        <x:v>Backlog</x:v>
      </x:c>
      <x:c r="J35" s="11" t="str">
        <x:v>Every surfaced action reviewed and reason-traceable</x:v>
      </x:c>
      <x:c r="K35" s="11" t="str">
        <x:v>Action catalogue</x:v>
      </x:c>
      <x:c r="L35" s="11" t="str">
        <x:v>P6</x:v>
      </x:c>
      <x:c r="M35" s="11" t="str">
        <x:v>High</x:v>
      </x:c>
      <x:c r="N35" s="11" t="str">
        <x:v>Reviewed micro-actions, exclusions, locales and versions</x:v>
      </x:c>
      <x:c r="O35" s="11" t="str"/>
    </x:row>
    <x:row r="36" ht="36" customHeight="1">
      <x:c r="A36" s="10" t="str">
        <x:v>BV-035</x:v>
      </x:c>
      <x:c r="B36" s="10" t="str">
        <x:v>P6</x:v>
      </x:c>
      <x:c r="C36" s="10" t="str">
        <x:v>Wellness</x:v>
      </x:c>
      <x:c r="D36" s="11" t="str">
        <x:v>Implement plan engine and user-selected variants</x:v>
      </x:c>
      <x:c r="E36" s="11" t="str">
        <x:v>Backend</x:v>
      </x:c>
      <x:c r="F36" s="11" t="str">
        <x:v>P0</x:v>
      </x:c>
      <x:c r="G36" s="10" t="n">
        <x:v>8</x:v>
      </x:c>
      <x:c r="H36" s="11" t="str">
        <x:v>BV-033, BV-034</x:v>
      </x:c>
      <x:c r="I36" s="11" t="str">
        <x:v>Backlog</x:v>
      </x:c>
      <x:c r="J36" s="11" t="str">
        <x:v>No action from LLM free text; user selection required</x:v>
      </x:c>
      <x:c r="K36" s="11" t="str">
        <x:v>Plan Engine</x:v>
      </x:c>
      <x:c r="L36" s="11" t="str">
        <x:v>P6</x:v>
      </x:c>
      <x:c r="M36" s="11" t="str">
        <x:v>High</x:v>
      </x:c>
      <x:c r="N36" s="11" t="str">
        <x:v>Minimum/normal/fallback action service</x:v>
      </x:c>
      <x:c r="O36" s="11" t="str"/>
    </x:row>
    <x:row r="37" ht="36" customHeight="1">
      <x:c r="A37" s="10" t="str">
        <x:v>BV-036</x:v>
      </x:c>
      <x:c r="B37" s="10" t="str">
        <x:v>P6</x:v>
      </x:c>
      <x:c r="C37" s="10" t="str">
        <x:v>Wellness</x:v>
      </x:c>
      <x:c r="D37" s="11" t="str">
        <x:v>Implement check-ins, barrier and recovery flow</x:v>
      </x:c>
      <x:c r="E37" s="11" t="str">
        <x:v>Frontend + Backend</x:v>
      </x:c>
      <x:c r="F37" s="11" t="str">
        <x:v>P0</x:v>
      </x:c>
      <x:c r="G37" s="10" t="n">
        <x:v>10</x:v>
      </x:c>
      <x:c r="H37" s="11" t="str">
        <x:v>BV-035</x:v>
      </x:c>
      <x:c r="I37" s="11" t="str">
        <x:v>Backlog</x:v>
      </x:c>
      <x:c r="J37" s="11" t="str">
        <x:v>Missed app opens ≠ failed habit; recovery history persists</x:v>
      </x:c>
      <x:c r="K37" s="11" t="str">
        <x:v>Recovery UX/service</x:v>
      </x:c>
      <x:c r="L37" s="11" t="str">
        <x:v>P6</x:v>
      </x:c>
      <x:c r="M37" s="11" t="str">
        <x:v>Medium</x:v>
      </x:c>
      <x:c r="N37" s="11" t="str">
        <x:v>No punitive reset; preserved achievements</x:v>
      </x:c>
      <x:c r="O37" s="11" t="str"/>
    </x:row>
    <x:row r="38" ht="36" customHeight="1">
      <x:c r="A38" s="10" t="str">
        <x:v>BV-037</x:v>
      </x:c>
      <x:c r="B38" s="10" t="str">
        <x:v>P6</x:v>
      </x:c>
      <x:c r="C38" s="10" t="str">
        <x:v>AI</x:v>
      </x:c>
      <x:c r="D38" s="11" t="str">
        <x:v>Add authorized Wellness Coach tools and cards</x:v>
      </x:c>
      <x:c r="E38" s="11" t="str">
        <x:v>AI</x:v>
      </x:c>
      <x:c r="F38" s="11" t="str">
        <x:v>P1</x:v>
      </x:c>
      <x:c r="G38" s="10" t="n">
        <x:v>6</x:v>
      </x:c>
      <x:c r="H38" s="11" t="str">
        <x:v>BV-035, BV-026</x:v>
      </x:c>
      <x:c r="I38" s="11" t="str">
        <x:v>Backlog</x:v>
      </x:c>
      <x:c r="J38" s="11" t="str">
        <x:v>No unreviewed plan generation; tool calls scoped</x:v>
      </x:c>
      <x:c r="K38" s="11" t="str">
        <x:v>Wellness AI</x:v>
      </x:c>
      <x:c r="L38" s="11" t="str">
        <x:v>P6</x:v>
      </x:c>
      <x:c r="M38" s="11" t="str">
        <x:v>High</x:v>
      </x:c>
      <x:c r="N38" s="11" t="str">
        <x:v>Gateway explanation of deterministic decisions</x:v>
      </x:c>
      <x:c r="O38" s="11" t="str"/>
    </x:row>
    <x:row r="39" ht="36" customHeight="1">
      <x:c r="A39" s="10" t="str">
        <x:v>BV-038</x:v>
      </x:c>
      <x:c r="B39" s="10" t="str">
        <x:v>P6</x:v>
      </x:c>
      <x:c r="C39" s="10" t="str">
        <x:v>Devices</x:v>
      </x:c>
      <x:c r="D39" s="11" t="str">
        <x:v>Implement manual vitals/device integration adapter</x:v>
      </x:c>
      <x:c r="E39" s="11" t="str">
        <x:v>Integration</x:v>
      </x:c>
      <x:c r="F39" s="11" t="str">
        <x:v>P1</x:v>
      </x:c>
      <x:c r="G39" s="10" t="n">
        <x:v>8</x:v>
      </x:c>
      <x:c r="H39" s="11" t="str">
        <x:v>BV-033, BV-010</x:v>
      </x:c>
      <x:c r="I39" s="11" t="str">
        <x:v>Backlog</x:v>
      </x:c>
      <x:c r="J39" s="11" t="str">
        <x:v>Manual works; device revocation and duplicate policy tested</x:v>
      </x:c>
      <x:c r="K39" s="11" t="str">
        <x:v>Device adapter</x:v>
      </x:c>
      <x:c r="L39" s="11" t="str">
        <x:v>P6</x:v>
      </x:c>
      <x:c r="M39" s="11" t="str">
        <x:v>Medium</x:v>
      </x:c>
      <x:c r="N39" s="11" t="str">
        <x:v>Device optional; provenance/data gaps distinguished</x:v>
      </x:c>
      <x:c r="O39" s="11" t="str"/>
    </x:row>
    <x:row r="40" ht="36" customHeight="1">
      <x:c r="A40" s="10" t="str">
        <x:v>BV-039</x:v>
      </x:c>
      <x:c r="B40" s="10" t="str">
        <x:v>P6</x:v>
      </x:c>
      <x:c r="C40" s="10" t="str">
        <x:v>Wellness</x:v>
      </x:c>
      <x:c r="D40" s="11" t="str">
        <x:v>Implement preference-driven reminders and burden budget</x:v>
      </x:c>
      <x:c r="E40" s="11" t="str">
        <x:v>Wellness</x:v>
      </x:c>
      <x:c r="F40" s="11" t="str">
        <x:v>P1</x:v>
      </x:c>
      <x:c r="G40" s="10" t="n">
        <x:v>6</x:v>
      </x:c>
      <x:c r="H40" s="11" t="str">
        <x:v>BV-036</x:v>
      </x:c>
      <x:c r="I40" s="11" t="str">
        <x:v>Backlog</x:v>
      </x:c>
      <x:c r="J40" s="11" t="str">
        <x:v>No nagging after pause; reminder caps proven</x:v>
      </x:c>
      <x:c r="K40" s="11" t="str">
        <x:v>Notifications</x:v>
      </x:c>
      <x:c r="L40" s="11" t="str">
        <x:v>P6</x:v>
      </x:c>
      <x:c r="M40" s="11" t="str">
        <x:v>Medium</x:v>
      </x:c>
      <x:c r="N40" s="11" t="str">
        <x:v>Quiet hours, opt-in, consent change handling</x:v>
      </x:c>
      <x:c r="O40" s="11" t="str"/>
    </x:row>
    <x:row r="41" ht="36" customHeight="1">
      <x:c r="A41" s="10" t="str">
        <x:v>BV-040</x:v>
      </x:c>
      <x:c r="B41" s="10" t="str">
        <x:v>P6</x:v>
      </x:c>
      <x:c r="C41" s="10" t="str">
        <x:v>Analytics</x:v>
      </x:c>
      <x:c r="D41" s="11" t="str">
        <x:v>Instrument sustained behavior and equity metrics</x:v>
      </x:c>
      <x:c r="E41" s="11" t="str">
        <x:v>Product Analytics</x:v>
      </x:c>
      <x:c r="F41" s="11" t="str">
        <x:v>P0</x:v>
      </x:c>
      <x:c r="G41" s="10" t="n">
        <x:v>6</x:v>
      </x:c>
      <x:c r="H41" s="11" t="str">
        <x:v>BV-036, BV-038</x:v>
      </x:c>
      <x:c r="I41" s="11" t="str">
        <x:v>Backlog</x:v>
      </x:c>
      <x:c r="J41" s="11" t="str">
        <x:v>Outcome definitions and denominators approved before pilot</x:v>
      </x:c>
      <x:c r="K41" s="11" t="str">
        <x:v>Wellness metrics</x:v>
      </x:c>
      <x:c r="L41" s="11" t="str">
        <x:v>P6</x:v>
      </x:c>
      <x:c r="M41" s="11" t="str">
        <x:v>Medium</x:v>
      </x:c>
      <x:c r="N41" s="11" t="str">
        <x:v>3/6/12 mo cohort, recovery time, missingness</x:v>
      </x:c>
      <x:c r="O41" s="11" t="str"/>
    </x:row>
    <x:row r="42" ht="36" customHeight="1">
      <x:c r="A42" s="10" t="str">
        <x:v>BV-041</x:v>
      </x:c>
      <x:c r="B42" s="10" t="str">
        <x:v>P6</x:v>
      </x:c>
      <x:c r="C42" s="10" t="str">
        <x:v>QA</x:v>
      </x:c>
      <x:c r="D42" s="11" t="str">
        <x:v>Run wellness safety, accessibility and adaptation goldens</x:v>
      </x:c>
      <x:c r="E42" s="11" t="str">
        <x:v>QA + Clinical</x:v>
      </x:c>
      <x:c r="F42" s="11" t="str">
        <x:v>P0</x:v>
      </x:c>
      <x:c r="G42" s="10" t="n">
        <x:v>9</x:v>
      </x:c>
      <x:c r="H42" s="11" t="str">
        <x:v>BV-036, BV-037, BV-039, BV-040</x:v>
      </x:c>
      <x:c r="I42" s="11" t="str">
        <x:v>Backlog</x:v>
      </x:c>
      <x:c r="J42" s="11" t="str">
        <x:v>No unsafe action; non-shaming recovery; locale and opt-out pass</x:v>
      </x:c>
      <x:c r="K42" s="11" t="str">
        <x:v>M4 wellness pilot gate</x:v>
      </x:c>
      <x:c r="L42" s="11" t="str">
        <x:v>P6</x:v>
      </x:c>
      <x:c r="M42" s="11" t="str">
        <x:v>High</x:v>
      </x:c>
      <x:c r="N42" s="11" t="str">
        <x:v>Heat, shift, Ramadan opt-in, mobility, illness cases</x:v>
      </x:c>
      <x:c r="O42" s="11" t="str"/>
    </x:row>
    <x:row r="43" ht="36" customHeight="1">
      <x:c r="A43" s="10" t="str">
        <x:v>BV-042</x:v>
      </x:c>
      <x:c r="B43" s="10" t="str">
        <x:v>P7</x:v>
      </x:c>
      <x:c r="C43" s="10" t="str">
        <x:v>Community</x:v>
      </x:c>
      <x:c r="D43" s="11" t="str">
        <x:v>Define reviewed source and content-label schema</x:v>
      </x:c>
      <x:c r="E43" s="11" t="str">
        <x:v>Community</x:v>
      </x:c>
      <x:c r="F43" s="11" t="str">
        <x:v>P1</x:v>
      </x:c>
      <x:c r="G43" s="10" t="n">
        <x:v>5</x:v>
      </x:c>
      <x:c r="H43" s="11" t="str">
        <x:v>BV-001, BV-003</x:v>
      </x:c>
      <x:c r="I43" s="11" t="str">
        <x:v>Backlog</x:v>
      </x:c>
      <x:c r="J43" s="11" t="str">
        <x:v>Source classifications and expiration/review requirements defined</x:v>
      </x:c>
      <x:c r="K43" s="11" t="str">
        <x:v>Content model</x:v>
      </x:c>
      <x:c r="L43" s="11" t="str">
        <x:v>P7</x:v>
      </x:c>
      <x:c r="M43" s="11" t="str">
        <x:v>Medium</x:v>
      </x:c>
      <x:c r="N43" s="11" t="str">
        <x:v>Authority level, publish date, credential policy</x:v>
      </x:c>
      <x:c r="O43" s="11" t="str"/>
    </x:row>
    <x:row r="44" ht="36" customHeight="1">
      <x:c r="A44" s="10" t="str">
        <x:v>BV-043</x:v>
      </x:c>
      <x:c r="B44" s="10" t="str">
        <x:v>P7</x:v>
      </x:c>
      <x:c r="C44" s="10" t="str">
        <x:v>Community</x:v>
      </x:c>
      <x:c r="D44" s="11" t="str">
        <x:v>Build curated read-only Community feed</x:v>
      </x:c>
      <x:c r="E44" s="11" t="str">
        <x:v>Frontend + Backend</x:v>
      </x:c>
      <x:c r="F44" s="11" t="str">
        <x:v>P1</x:v>
      </x:c>
      <x:c r="G44" s="10" t="n">
        <x:v>8</x:v>
      </x:c>
      <x:c r="H44" s="11" t="str">
        <x:v>BV-042, BV-012</x:v>
      </x:c>
      <x:c r="I44" s="11" t="str">
        <x:v>Backlog</x:v>
      </x:c>
      <x:c r="J44" s="11" t="str">
        <x:v>Public feed independent of Health; articles cite sources</x:v>
      </x:c>
      <x:c r="K44" s="11" t="str">
        <x:v>Read-only Community</x:v>
      </x:c>
      <x:c r="L44" s="11" t="str">
        <x:v>P7</x:v>
      </x:c>
      <x:c r="M44" s="11" t="str">
        <x:v>Medium</x:v>
      </x:c>
      <x:c r="N44" s="11" t="str">
        <x:v>Source-linked news/posts and search</x:v>
      </x:c>
      <x:c r="O44" s="11" t="str"/>
    </x:row>
    <x:row r="45" ht="36" customHeight="1">
      <x:c r="A45" s="10" t="str">
        <x:v>BV-044</x:v>
      </x:c>
      <x:c r="B45" s="10" t="str">
        <x:v>P7</x:v>
      </x:c>
      <x:c r="C45" s="10" t="str">
        <x:v>Trust/Safety</x:v>
      </x:c>
      <x:c r="D45" s="11" t="str">
        <x:v>Implement content submission + moderation queue behind flag</x:v>
      </x:c>
      <x:c r="E45" s="11" t="str">
        <x:v>Trust &amp; Safety</x:v>
      </x:c>
      <x:c r="F45" s="11" t="str">
        <x:v>P2</x:v>
      </x:c>
      <x:c r="G45" s="10" t="n">
        <x:v>10</x:v>
      </x:c>
      <x:c r="H45" s="11" t="str">
        <x:v>BV-043, BV-024</x:v>
      </x:c>
      <x:c r="I45" s="11" t="str">
        <x:v>Backlog</x:v>
      </x:c>
      <x:c r="J45" s="11" t="str">
        <x:v>Posts remain unpublished until policy gate; appeals auditable</x:v>
      </x:c>
      <x:c r="K45" s="11" t="str">
        <x:v>Moderation beta</x:v>
      </x:c>
      <x:c r="L45" s="11" t="str">
        <x:v>P7</x:v>
      </x:c>
      <x:c r="M45" s="11" t="str">
        <x:v>High</x:v>
      </x:c>
      <x:c r="N45" s="11" t="str">
        <x:v>Reports, bans, privacy prompts and appeals</x:v>
      </x:c>
      <x:c r="O45" s="11" t="str"/>
    </x:row>
    <x:row r="46" ht="36" customHeight="1">
      <x:c r="A46" s="10" t="str">
        <x:v>BV-045</x:v>
      </x:c>
      <x:c r="B46" s="10" t="str">
        <x:v>P7</x:v>
      </x:c>
      <x:c r="C46" s="10" t="str">
        <x:v>Security</x:v>
      </x:c>
      <x:c r="D46" s="11" t="str">
        <x:v>Pen-test Community-to-Health/AI trust boundary</x:v>
      </x:c>
      <x:c r="E46" s="11" t="str">
        <x:v>Security + QA</x:v>
      </x:c>
      <x:c r="F46" s="11" t="str">
        <x:v>P0</x:v>
      </x:c>
      <x:c r="G46" s="10" t="n">
        <x:v>7</x:v>
      </x:c>
      <x:c r="H46" s="11" t="str">
        <x:v>BV-044, BV-025</x:v>
      </x:c>
      <x:c r="I46" s="11" t="str">
        <x:v>Backlog</x:v>
      </x:c>
      <x:c r="J46" s="11" t="str">
        <x:v>Cannot access clinical context or agent tools via posts</x:v>
      </x:c>
      <x:c r="K46" s="11" t="str">
        <x:v>Community isolation gate</x:v>
      </x:c>
      <x:c r="L46" s="11" t="str">
        <x:v>P7</x:v>
      </x:c>
      <x:c r="M46" s="11" t="str">
        <x:v>High</x:v>
      </x:c>
      <x:c r="N46" s="11" t="str">
        <x:v>UGC prompt injection and data exfiltration</x:v>
      </x:c>
      <x:c r="O46" s="11" t="str"/>
    </x:row>
    <x:row r="47" ht="36" customHeight="1">
      <x:c r="A47" s="10" t="str">
        <x:v>BV-046</x:v>
      </x:c>
      <x:c r="B47" s="10" t="str">
        <x:v>P7</x:v>
      </x:c>
      <x:c r="C47" s="10" t="str">
        <x:v>Product</x:v>
      </x:c>
      <x:c r="D47" s="11" t="str">
        <x:v>Approve community posting launch separately</x:v>
      </x:c>
      <x:c r="E47" s="11" t="str">
        <x:v>Product + Legal</x:v>
      </x:c>
      <x:c r="F47" s="11" t="str">
        <x:v>P2</x:v>
      </x:c>
      <x:c r="G47" s="10" t="n">
        <x:v>4</x:v>
      </x:c>
      <x:c r="H47" s="11" t="str">
        <x:v>BV-044, BV-045</x:v>
      </x:c>
      <x:c r="I47" s="11" t="str">
        <x:v>Backlog</x:v>
      </x:c>
      <x:c r="J47" s="11" t="str">
        <x:v>Posting remains OFF unless independent gate signed</x:v>
      </x:c>
      <x:c r="K47" s="11" t="str">
        <x:v>Community go/no-go</x:v>
      </x:c>
      <x:c r="L47" s="11" t="str">
        <x:v>P7</x:v>
      </x:c>
      <x:c r="M47" s="11" t="str">
        <x:v>High</x:v>
      </x:c>
      <x:c r="N47" s="11" t="str">
        <x:v>Staff moderation, policies, legal check</x:v>
      </x:c>
      <x:c r="O47" s="11" t="str"/>
    </x:row>
    <x:row r="48" ht="36" customHeight="1">
      <x:c r="A48" s="10" t="str">
        <x:v>BV-047</x:v>
      </x:c>
      <x:c r="B48" s="10" t="str">
        <x:v>P8</x:v>
      </x:c>
      <x:c r="C48" s="10" t="str">
        <x:v>Security</x:v>
      </x:c>
      <x:c r="D48" s="11" t="str">
        <x:v>Conduct external security/privacy assessment</x:v>
      </x:c>
      <x:c r="E48" s="11" t="str">
        <x:v>Security + Legal</x:v>
      </x:c>
      <x:c r="F48" s="11" t="str">
        <x:v>P0</x:v>
      </x:c>
      <x:c r="G48" s="10" t="n">
        <x:v>8</x:v>
      </x:c>
      <x:c r="H48" s="11" t="str">
        <x:v>BV-032, BV-041</x:v>
      </x:c>
      <x:c r="I48" s="11" t="str">
        <x:v>Backlog</x:v>
      </x:c>
      <x:c r="J48" s="11" t="str">
        <x:v>No critical unremediated security findings</x:v>
      </x:c>
      <x:c r="K48" s="11" t="str">
        <x:v>Security signoff</x:v>
      </x:c>
      <x:c r="L48" s="11" t="str">
        <x:v>P8</x:v>
      </x:c>
      <x:c r="M48" s="11" t="str">
        <x:v>High</x:v>
      </x:c>
      <x:c r="N48" s="11" t="str">
        <x:v>Authz, encryption, cross-border processing, logging</x:v>
      </x:c>
      <x:c r="O48" s="11" t="str"/>
    </x:row>
    <x:row r="49" ht="36" customHeight="1">
      <x:c r="A49" s="10" t="str">
        <x:v>BV-048</x:v>
      </x:c>
      <x:c r="B49" s="10" t="str">
        <x:v>P8</x:v>
      </x:c>
      <x:c r="C49" s="10" t="str">
        <x:v>Platform</x:v>
      </x:c>
      <x:c r="D49" s="11" t="str">
        <x:v>Test rollback, disaster recovery and SLO alerting</x:v>
      </x:c>
      <x:c r="E49" s="11" t="str">
        <x:v>Platform</x:v>
      </x:c>
      <x:c r="F49" s="11" t="str">
        <x:v>P0</x:v>
      </x:c>
      <x:c r="G49" s="10" t="n">
        <x:v>7</x:v>
      </x:c>
      <x:c r="H49" s="11" t="str">
        <x:v>BV-031, BV-047</x:v>
      </x:c>
      <x:c r="I49" s="11" t="str">
        <x:v>Backlog</x:v>
      </x:c>
      <x:c r="J49" s="11" t="str">
        <x:v>Chaos/recovery drill and rollback accepted</x:v>
      </x:c>
      <x:c r="K49" s="11" t="str">
        <x:v>Ops signoff</x:v>
      </x:c>
      <x:c r="L49" s="11" t="str">
        <x:v>P8</x:v>
      </x:c>
      <x:c r="M49" s="11" t="str">
        <x:v>High</x:v>
      </x:c>
      <x:c r="N49" s="11" t="str">
        <x:v>Canary, incident runbook, backup restore</x:v>
      </x:c>
      <x:c r="O49" s="11" t="str"/>
    </x:row>
    <x:row r="50" ht="36" customHeight="1">
      <x:c r="A50" s="10" t="str">
        <x:v>BV-049</x:v>
      </x:c>
      <x:c r="B50" s="10" t="str">
        <x:v>P8</x:v>
      </x:c>
      <x:c r="C50" s="10" t="str">
        <x:v>Accessibility</x:v>
      </x:c>
      <x:c r="D50" s="11" t="str">
        <x:v>Complete localization, RTL and accessibility audit</x:v>
      </x:c>
      <x:c r="E50" s="11" t="str">
        <x:v>UX + QA</x:v>
      </x:c>
      <x:c r="F50" s="11" t="str">
        <x:v>P0</x:v>
      </x:c>
      <x:c r="G50" s="10" t="n">
        <x:v>7</x:v>
      </x:c>
      <x:c r="H50" s="11" t="str">
        <x:v>BV-041, BV-043</x:v>
      </x:c>
      <x:c r="I50" s="11" t="str">
        <x:v>Backlog</x:v>
      </x:c>
      <x:c r="J50" s="11" t="str">
        <x:v>Priority accessibility defects closed</x:v>
      </x:c>
      <x:c r="K50" s="11" t="str">
        <x:v>Accessibility signoff</x:v>
      </x:c>
      <x:c r="L50" s="11" t="str">
        <x:v>P8</x:v>
      </x:c>
      <x:c r="M50" s="11" t="str">
        <x:v>Medium</x:v>
      </x:c>
      <x:c r="N50" s="11" t="str">
        <x:v>Core en/ar UI and measured accessibility</x:v>
      </x:c>
      <x:c r="O50" s="11" t="str"/>
    </x:row>
    <x:row r="51" ht="36" customHeight="1">
      <x:c r="A51" s="10" t="str">
        <x:v>BV-050</x:v>
      </x:c>
      <x:c r="B51" s="10" t="str">
        <x:v>P8</x:v>
      </x:c>
      <x:c r="C51" s="10" t="str">
        <x:v>Legal/Clinical</x:v>
      </x:c>
      <x:c r="D51" s="11" t="str">
        <x:v>Approve jurisdiction, product claims and clinical disclaimers</x:v>
      </x:c>
      <x:c r="E51" s="11" t="str">
        <x:v>Legal + Clinical</x:v>
      </x:c>
      <x:c r="F51" s="11" t="str">
        <x:v>P0</x:v>
      </x:c>
      <x:c r="G51" s="10" t="n">
        <x:v>7</x:v>
      </x:c>
      <x:c r="H51" s="11" t="str">
        <x:v>BV-047, BV-049</x:v>
      </x:c>
      <x:c r="I51" s="11" t="str">
        <x:v>Backlog</x:v>
      </x:c>
      <x:c r="J51" s="11" t="str">
        <x:v>Regulatory approach and product claims signed</x:v>
      </x:c>
      <x:c r="K51" s="11" t="str">
        <x:v>Compliance signoff</x:v>
      </x:c>
      <x:c r="L51" s="11" t="str">
        <x:v>P8</x:v>
      </x:c>
      <x:c r="M51" s="11" t="str">
        <x:v>High</x:v>
      </x:c>
      <x:c r="N51" s="11" t="str">
        <x:v>Formal legal/clinical review of actual deployment</x:v>
      </x:c>
      <x:c r="O51" s="11" t="str"/>
    </x:row>
    <x:row r="52" ht="36" customHeight="1">
      <x:c r="A52" s="10" t="str">
        <x:v>BV-051</x:v>
      </x:c>
      <x:c r="B52" s="10" t="str">
        <x:v>P8</x:v>
      </x:c>
      <x:c r="C52" s="10" t="str">
        <x:v>Launch</x:v>
      </x:c>
      <x:c r="D52" s="11" t="str">
        <x:v>Controlled rollout with feature flags and kill switches</x:v>
      </x:c>
      <x:c r="E52" s="11" t="str">
        <x:v>Product + Platform</x:v>
      </x:c>
      <x:c r="F52" s="11" t="str">
        <x:v>P0</x:v>
      </x:c>
      <x:c r="G52" s="10" t="n">
        <x:v>5</x:v>
      </x:c>
      <x:c r="H52" s="11" t="str">
        <x:v>BV-048, BV-050</x:v>
      </x:c>
      <x:c r="I52" s="11" t="str">
        <x:v>Backlog</x:v>
      </x:c>
      <x:c r="J52" s="11" t="str">
        <x:v>All gates complete, staged rollout and rollback ready</x:v>
      </x:c>
      <x:c r="K52" s="11" t="str">
        <x:v>M6 launch</x:v>
      </x:c>
      <x:c r="L52" s="11" t="str">
        <x:v>P8</x:v>
      </x:c>
      <x:c r="M52" s="11" t="str">
        <x:v>High</x:v>
      </x:c>
      <x:c r="N52" s="11" t="str">
        <x:v>Go/no-go and monitoring launch</x:v>
      </x:c>
      <x:c r="O52" s="11" t="str"/>
    </x:row>
  </x:sheetData>
  <x:conditionalFormatting sqref="I2:I52">
    <x:cfRule type="expression" dxfId="0" priority="1">
      <x:formula>I2="Done"</x:formula>
    </x:cfRule>
    <x:cfRule type="expression" dxfId="1" priority="2">
      <x:formula>I2="Blocked"</x:formula>
    </x:cfRule>
  </x:conditionalFormatting>
  <x:conditionalFormatting sqref="F2:F52">
    <x:cfRule type="expression" dxfId="2" priority="3">
      <x:formula>F2="P0"</x:formula>
    </x:cfRule>
  </x:conditionalFormatting>
  <x:dataValidations count="3">
    <x:dataValidation type="list" sqref="F2:F250">
      <x:formula1>"P0,P1,P2"</x:formula1>
    </x:dataValidation>
    <x:dataValidation type="list" sqref="I2:I250">
      <x:formula1>"Backlog,Ready,In Progress,Blocked,In Review,Done"</x:formula1>
    </x:dataValidation>
    <x:dataValidation type="list" sqref="M2:M250">
      <x:formula1>"Low,Medium,High"</x:formula1>
    </x:dataValidation>
  </x:dataValidations>
  <x:pageMargins left="0.7" right="0.7" top="0.75" bottom="0.75" header="0.3" footer="0.3"/>
  <x:tableParts count="1">
    <x:tablePart xmlns:r="http://schemas.openxmlformats.org/officeDocument/2006/relationships" r:id="R0b2245c1c34344ea"/>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7" hidden="0" customWidth="1"/>
    <x:col min="3" max="3" width="16" hidden="0" customWidth="1"/>
    <x:col min="4" max="4" width="14" hidden="0" customWidth="1"/>
    <x:col min="5" max="5" width="19" hidden="0" customWidth="1"/>
    <x:col min="6" max="6" width="66" hidden="0" customWidth="1"/>
    <x:col min="7" max="7" width="15" hidden="0" customWidth="1"/>
    <x:col min="8" max="8" width="15" hidden="0" customWidth="1"/>
    <x:col min="9" max="9" width="11" hidden="0" customWidth="1"/>
    <x:col min="10" max="10" width="19" hidden="0" customWidth="1"/>
    <x:col min="11" max="11" width="19" hidden="0" customWidth="1"/>
  </x:cols>
  <x:sheetData>
    <x:row r="1" ht="30" customHeight="1">
      <x:c r="A1" s="4" t="str">
        <x:v>Phase</x:v>
      </x:c>
      <x:c r="B1" s="4" t="str">
        <x:v>Name</x:v>
      </x:c>
      <x:c r="C1" s="4" t="str">
        <x:v>Start Week</x:v>
      </x:c>
      <x:c r="D1" s="4" t="str">
        <x:v>End Week</x:v>
      </x:c>
      <x:c r="E1" s="4" t="str">
        <x:v>Duration (weeks)</x:v>
      </x:c>
      <x:c r="F1" s="4" t="str">
        <x:v>Scope</x:v>
      </x:c>
      <x:c r="G1" s="4" t="str">
        <x:v>Task Count</x:v>
      </x:c>
      <x:c r="H1" s="4" t="str">
        <x:v>Critical P0</x:v>
      </x:c>
      <x:c r="I1" s="4" t="str">
        <x:v>Gate</x:v>
      </x:c>
      <x:c r="J1" s="4" t="str">
        <x:v>Status</x:v>
      </x:c>
      <x:c r="K1" s="4" t="str">
        <x:v>Completion %</x:v>
      </x:c>
    </x:row>
    <x:row r="2" ht="39" customHeight="1">
      <x:c r="A2" t="str">
        <x:v>P0</x:v>
      </x:c>
      <x:c r="B2" t="str">
        <x:v>Foundation</x:v>
      </x:c>
      <x:c r="C2" t="n">
        <x:v>1</x:v>
      </x:c>
      <x:c r="D2" t="n">
        <x:v>2</x:v>
      </x:c>
      <x:c r="E2" t="n">
        <x:v>2</x:v>
      </x:c>
      <x:c r="F2" s="8" t="str">
        <x:v>Architecture, clinical governance, privacy &amp; dev tooling</x:v>
      </x:c>
      <x:c r="G2" t="n">
        <x:v>7</x:v>
      </x:c>
      <x:c r="H2" t="n">
        <x:v>7</x:v>
      </x:c>
      <x:c r="I2" t="str">
        <x:v>P0</x:v>
      </x:c>
      <x:c r="J2" t="str">
        <x:v>In Review</x:v>
      </x:c>
      <x:c r="K2" s="14" t="n">
        <x:f>IFERROR(COUNTIFS(Tasks!$B$2:$B$52,A2,Tasks!$I$2:$I$52,"Done")/COUNTIF(Tasks!$B$2:$B$52,A2),0)</x:f>
        <x:v>0</x:v>
      </x:c>
    </x:row>
    <x:row r="3" ht="39" customHeight="1">
      <x:c r="A3" t="str">
        <x:v>P1</x:v>
      </x:c>
      <x:c r="B3" t="str">
        <x:v>Platform &amp; Identity</x:v>
      </x:c>
      <x:c r="C3" t="n">
        <x:v>3</x:v>
      </x:c>
      <x:c r="D3" t="n">
        <x:v>5</x:v>
      </x:c>
      <x:c r="E3" t="n">
        <x:v>3</x:v>
      </x:c>
      <x:c r="F3" s="8" t="str">
        <x:v>Profile auth, authorization, canonical data</x:v>
      </x:c>
      <x:c r="G3" t="n">
        <x:v>6</x:v>
      </x:c>
      <x:c r="H3" t="n">
        <x:v>6</x:v>
      </x:c>
      <x:c r="I3" t="str">
        <x:v>P1</x:v>
      </x:c>
      <x:c r="J3" t="str">
        <x:v>In Progress</x:v>
      </x:c>
      <x:c r="K3" s="14" t="n">
        <x:f>IFERROR(COUNTIFS(Tasks!$B$2:$B$52,A3,Tasks!$I$2:$I$52,"Done")/COUNTIF(Tasks!$B$2:$B$52,A3),0)</x:f>
        <x:v>0</x:v>
      </x:c>
    </x:row>
    <x:row r="4" ht="39" customHeight="1">
      <x:c r="A4" t="str">
        <x:v>P2</x:v>
      </x:c>
      <x:c r="B4" t="str">
        <x:v>Medical Reports</x:v>
      </x:c>
      <x:c r="C4" t="n">
        <x:v>6</x:v>
      </x:c>
      <x:c r="D4" t="n">
        <x:v>9</x:v>
      </x:c>
      <x:c r="E4" t="n">
        <x:v>4</x:v>
      </x:c>
      <x:c r="F4" s="8" t="str">
        <x:v>Upload, OCR, verification &amp; raw observation</x:v>
      </x:c>
      <x:c r="G4" t="n">
        <x:v>5</x:v>
      </x:c>
      <x:c r="H4" t="n">
        <x:v>5</x:v>
      </x:c>
      <x:c r="I4" t="str">
        <x:v>P2</x:v>
      </x:c>
      <x:c r="J4" t="str">
        <x:v>In Progress</x:v>
      </x:c>
      <x:c r="K4" s="14" t="n">
        <x:f>IFERROR(COUNTIFS(Tasks!$B$2:$B$52,A4,Tasks!$I$2:$I$52,"Done")/COUNTIF(Tasks!$B$2:$B$52,A4),0)</x:f>
        <x:v>0</x:v>
      </x:c>
    </x:row>
    <x:row r="5" ht="39" customHeight="1">
      <x:c r="A5" t="str">
        <x:v>P3</x:v>
      </x:c>
      <x:c r="B5" t="str">
        <x:v>Health Intelligence</x:v>
      </x:c>
      <x:c r="C5" t="n">
        <x:v>10</x:v>
      </x:c>
      <x:c r="D5" t="n">
        <x:v>13</x:v>
      </x:c>
      <x:c r="E5" t="n">
        <x:v>4</x:v>
      </x:c>
      <x:c r="F5" s="8" t="str">
        <x:v>Safe aggregation, trends, body view</x:v>
      </x:c>
      <x:c r="G5" t="n">
        <x:v>5</x:v>
      </x:c>
      <x:c r="H5" t="n">
        <x:v>4</x:v>
      </x:c>
      <x:c r="I5" t="str">
        <x:v>P3</x:v>
      </x:c>
      <x:c r="J5" t="str">
        <x:v>In Progress</x:v>
      </x:c>
      <x:c r="K5" s="14" t="n">
        <x:f>IFERROR(COUNTIFS(Tasks!$B$2:$B$52,A5,Tasks!$I$2:$I$52,"Done")/COUNTIF(Tasks!$B$2:$B$52,A5),0)</x:f>
        <x:v>0</x:v>
      </x:c>
    </x:row>
    <x:row r="6" ht="39" customHeight="1">
      <x:c r="A6" t="str">
        <x:v>P4</x:v>
      </x:c>
      <x:c r="B6" t="str">
        <x:v>AI Platform</x:v>
      </x:c>
      <x:c r="C6" t="n">
        <x:v>14</x:v>
      </x:c>
      <x:c r="D6" t="n">
        <x:v>17</x:v>
      </x:c>
      <x:c r="E6" t="n">
        <x:v>4</x:v>
      </x:c>
      <x:c r="F6" s="8" t="str">
        <x:v>AI Gateway, tools, chat</x:v>
      </x:c>
      <x:c r="G6" t="n">
        <x:v>5</x:v>
      </x:c>
      <x:c r="H6" t="n">
        <x:v>4</x:v>
      </x:c>
      <x:c r="I6" t="str">
        <x:v>P4</x:v>
      </x:c>
      <x:c r="J6" t="str">
        <x:v>In Progress</x:v>
      </x:c>
      <x:c r="K6" s="14" t="n">
        <x:f>IFERROR(COUNTIFS(Tasks!$B$2:$B$52,A6,Tasks!$I$2:$I$52,"Done")/COUNTIF(Tasks!$B$2:$B$52,A6),0)</x:f>
        <x:v>0</x:v>
      </x:c>
    </x:row>
    <x:row r="7" ht="39" customHeight="1">
      <x:c r="A7" t="str">
        <x:v>P5</x:v>
      </x:c>
      <x:c r="B7" t="str">
        <x:v>Private Pilot</x:v>
      </x:c>
      <x:c r="C7" t="n">
        <x:v>18</x:v>
      </x:c>
      <x:c r="D7" t="n">
        <x:v>20</x:v>
      </x:c>
      <x:c r="E7" t="n">
        <x:v>3</x:v>
      </x:c>
      <x:c r="F7" s="8" t="str">
        <x:v>Privacy/clinical pilot, instrumentation</x:v>
      </x:c>
      <x:c r="G7" t="n">
        <x:v>4</x:v>
      </x:c>
      <x:c r="H7" t="n">
        <x:v>4</x:v>
      </x:c>
      <x:c r="I7" t="str">
        <x:v>P5</x:v>
      </x:c>
      <x:c r="J7" t="str">
        <x:v>In Progress</x:v>
      </x:c>
      <x:c r="K7" s="14" t="n">
        <x:f>IFERROR(COUNTIFS(Tasks!$B$2:$B$52,A7,Tasks!$I$2:$I$52,"Done")/COUNTIF(Tasks!$B$2:$B$52,A7),0)</x:f>
        <x:v>0</x:v>
      </x:c>
    </x:row>
    <x:row r="8" ht="39" customHeight="1">
      <x:c r="A8" t="str">
        <x:v>P6</x:v>
      </x:c>
      <x:c r="B8" t="str">
        <x:v>Adaptive Wellness</x:v>
      </x:c>
      <x:c r="C8" t="n">
        <x:v>21</x:v>
      </x:c>
      <x:c r="D8" t="n">
        <x:v>24</x:v>
      </x:c>
      <x:c r="E8" t="n">
        <x:v>4</x:v>
      </x:c>
      <x:c r="F8" s="8" t="str">
        <x:v>Reviewed actions, plan, recovery, device data</x:v>
      </x:c>
      <x:c r="G8" t="n">
        <x:v>9</x:v>
      </x:c>
      <x:c r="H8" t="n">
        <x:v>6</x:v>
      </x:c>
      <x:c r="I8" t="str">
        <x:v>P6</x:v>
      </x:c>
      <x:c r="J8" t="str">
        <x:v>Not Started</x:v>
      </x:c>
      <x:c r="K8" s="14" t="n">
        <x:f>IFERROR(COUNTIFS(Tasks!$B$2:$B$52,A8,Tasks!$I$2:$I$52,"Done")/COUNTIF(Tasks!$B$2:$B$52,A8),0)</x:f>
        <x:v>0</x:v>
      </x:c>
    </x:row>
    <x:row r="9" ht="39" customHeight="1">
      <x:c r="A9" t="str">
        <x:v>P7</x:v>
      </x:c>
      <x:c r="B9" t="str">
        <x:v>Community Beta</x:v>
      </x:c>
      <x:c r="C9" t="n">
        <x:v>25</x:v>
      </x:c>
      <x:c r="D9" t="n">
        <x:v>28</x:v>
      </x:c>
      <x:c r="E9" t="n">
        <x:v>4</x:v>
      </x:c>
      <x:c r="F9" s="8" t="str">
        <x:v>Curated feed; moderated posting optional</x:v>
      </x:c>
      <x:c r="G9" t="n">
        <x:v>5</x:v>
      </x:c>
      <x:c r="H9" t="n">
        <x:v>1</x:v>
      </x:c>
      <x:c r="I9" t="str">
        <x:v>P7</x:v>
      </x:c>
      <x:c r="J9" t="str">
        <x:v>Not Started</x:v>
      </x:c>
      <x:c r="K9" s="14" t="n">
        <x:f>IFERROR(COUNTIFS(Tasks!$B$2:$B$52,A9,Tasks!$I$2:$I$52,"Done")/COUNTIF(Tasks!$B$2:$B$52,A9),0)</x:f>
        <x:v>0</x:v>
      </x:c>
    </x:row>
    <x:row r="10" ht="39" customHeight="1">
      <x:c r="A10" t="str">
        <x:v>P8</x:v>
      </x:c>
      <x:c r="B10" t="str">
        <x:v>Production Readiness</x:v>
      </x:c>
      <x:c r="C10" t="n">
        <x:v>29</x:v>
      </x:c>
      <x:c r="D10" t="n">
        <x:v>31</x:v>
      </x:c>
      <x:c r="E10" t="n">
        <x:v>3</x:v>
      </x:c>
      <x:c r="F10" s="8" t="str">
        <x:v>Security, legal, operations, rollout</x:v>
      </x:c>
      <x:c r="G10" t="n">
        <x:v>5</x:v>
      </x:c>
      <x:c r="H10" t="n">
        <x:v>5</x:v>
      </x:c>
      <x:c r="I10" t="str">
        <x:v>P8</x:v>
      </x:c>
      <x:c r="J10" t="str">
        <x:v>Not Started</x:v>
      </x:c>
      <x:c r="K10" s="14" t="n">
        <x:f>IFERROR(COUNTIFS(Tasks!$B$2:$B$52,A10,Tasks!$I$2:$I$52,"Done")/COUNTIF(Tasks!$B$2:$B$52,A10),0)</x:f>
        <x:v>0</x:v>
      </x:c>
    </x:row>
  </x:sheetData>
  <x:dataValidations count="1">
    <x:dataValidation type="list" sqref="J2:J10">
      <x:formula1>"Not Started,In Progress,At Risk,Gate Passed"</x:formula1>
    </x:dataValidation>
  </x:dataValidations>
  <x:pageMargins left="0.7" right="0.7" top="0.75" bottom="0.75" header="0.3" footer="0.3"/>
  <x:tableParts count="1">
    <x:tablePart xmlns:r="http://schemas.openxmlformats.org/officeDocument/2006/relationships" r:id="R7e752e5aad7f4895"/>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62" hidden="0" customWidth="1"/>
    <x:col min="3" max="3" width="25" hidden="0" customWidth="1"/>
    <x:col min="4" max="4" width="15" hidden="0" customWidth="1"/>
    <x:col min="5" max="5" width="18" hidden="0" customWidth="1"/>
    <x:col min="6" max="6" width="75" hidden="0" customWidth="1"/>
  </x:cols>
  <x:sheetData>
    <x:row r="1" ht="30" customHeight="1">
      <x:c r="A1" s="4" t="str">
        <x:v>ID</x:v>
      </x:c>
      <x:c r="B1" s="4" t="str">
        <x:v>Decision</x:v>
      </x:c>
      <x:c r="C1" s="4" t="str">
        <x:v>Owner Role</x:v>
      </x:c>
      <x:c r="D1" s="4" t="str">
        <x:v>Due Gate</x:v>
      </x:c>
      <x:c r="E1" s="4" t="str">
        <x:v>Status</x:v>
      </x:c>
      <x:c r="F1" s="4" t="str">
        <x:v>Notes</x:v>
      </x:c>
    </x:row>
    <x:row r="2" ht="26.399999618530273" hidden="0" customHeight="1">
      <x:c r="A2" t="str">
        <x:v>DEC-001</x:v>
      </x:c>
      <x:c r="B2" s="8" t="str">
        <x:v>Launch jurisdiction and health-data hosting region</x:v>
      </x:c>
      <x:c r="C2" t="str">
        <x:v>Product + Legal</x:v>
      </x:c>
      <x:c r="D2" t="str">
        <x:v>P0</x:v>
      </x:c>
      <x:c r="E2" t="str">
        <x:v>Open</x:v>
      </x:c>
      <x:c r="F2" s="8" t="str">
        <x:v>Owner confirmed UAE and India target markets; local PostgreSQL only for now. Production region, transfers and applicable obligations remain unresolved; specialist review deferred for development.</x:v>
      </x:c>
    </x:row>
    <x:row r="3" ht="26.399999618530273" hidden="0" customHeight="1">
      <x:c r="A3" t="str">
        <x:v>DEC-002</x:v>
      </x:c>
      <x:c r="B3" s="8" t="str">
        <x:v>Frontend/mobile stack and deployment platform</x:v>
      </x:c>
      <x:c r="C3" t="str">
        <x:v>Tech Lead</x:v>
      </x:c>
      <x:c r="D3" t="str">
        <x:v>P0</x:v>
      </x:c>
      <x:c r="E3" t="str">
        <x:v>Open</x:v>
      </x:c>
      <x:c r="F3" s="8" t="str">
        <x:v>Owner accepted TypeScript monorepo, Next.js, React Native, PostgreSQL and modular monolith. Production deployment platform remains unresolved; see docs/p0/OWNER-DECISIONS.md.</x:v>
      </x:c>
    </x:row>
    <x:row r="4" ht="15" hidden="0" customHeight="1">
      <x:c r="A4" t="str">
        <x:v>DEC-003</x:v>
      </x:c>
      <x:c r="B4" s="8" t="str">
        <x:v>OCR vendor and supported lab templates</x:v>
      </x:c>
      <x:c r="C4" t="str">
        <x:v>AI Lead + Clinical</x:v>
      </x:c>
      <x:c r="D4" t="str">
        <x:v>P2</x:v>
      </x:c>
      <x:c r="E4" t="str">
        <x:v>Open</x:v>
      </x:c>
      <x:c r="F4" s="8" t="str">
        <x:v>Measure on representative reports</x:v>
      </x:c>
    </x:row>
    <x:row r="5" ht="26.399999618530273" hidden="0" customHeight="1">
      <x:c r="A5" t="str">
        <x:v>DEC-004</x:v>
      </x:c>
      <x:c r="B5" s="8" t="str">
        <x:v>Named clinical/lab rule reviewer</x:v>
      </x:c>
      <x:c r="C5" t="str">
        <x:v>Product</x:v>
      </x:c>
      <x:c r="D5" t="str">
        <x:v>P0</x:v>
      </x:c>
      <x:c r="E5" t="str">
        <x:v>Open</x:v>
      </x:c>
      <x:c r="F5" s="8" t="str">
        <x:v>Owner deferred reviewer appointment to Backlog for pilot/UAT development; BV-004. No clinician appointed or approval claimed.</x:v>
      </x:c>
    </x:row>
    <x:row r="6" ht="15" hidden="0" customHeight="1">
      <x:c r="A6" t="str">
        <x:v>DEC-005</x:v>
      </x:c>
      <x:c r="B6" s="8" t="str">
        <x:v>AI model provider and fallback</x:v>
      </x:c>
      <x:c r="C6" t="str">
        <x:v>AI Lead + Security</x:v>
      </x:c>
      <x:c r="D6" t="str">
        <x:v>P4</x:v>
      </x:c>
      <x:c r="E6" t="str">
        <x:v>Open</x:v>
      </x:c>
      <x:c r="F6" s="8" t="str">
        <x:v>Residency and safety eval</x:v>
      </x:c>
    </x:row>
    <x:row r="7" ht="26.399999618530273" hidden="0" customHeight="1">
      <x:c r="A7" t="str">
        <x:v>DEC-006</x:v>
      </x:c>
      <x:c r="B7" s="8" t="str">
        <x:v>English/Arabic and additional languages</x:v>
      </x:c>
      <x:c r="C7" t="str">
        <x:v>Product + UX</x:v>
      </x:c>
      <x:c r="D7" t="str">
        <x:v>P0</x:v>
      </x:c>
      <x:c r="E7" t="str">
        <x:v>Decided</x:v>
      </x:c>
      <x:c r="F7" s="8" t="str">
        <x:v>Owner selected English initially. Preserve localization readiness; Arabic has no committed release date.</x:v>
      </x:c>
    </x:row>
    <x:row r="8" ht="15" hidden="0" customHeight="1">
      <x:c r="A8" t="str">
        <x:v>DEC-007</x:v>
      </x:c>
      <x:c r="B8" s="8" t="str">
        <x:v>Wearables and authorization vendors</x:v>
      </x:c>
      <x:c r="C8" t="str">
        <x:v>Integrations</x:v>
      </x:c>
      <x:c r="D8" t="str">
        <x:v>P6</x:v>
      </x:c>
      <x:c r="E8" t="str">
        <x:v>Open</x:v>
      </x:c>
      <x:c r="F8" s="8" t="str">
        <x:v>Manual input first</x:v>
      </x:c>
    </x:row>
    <x:row r="9" ht="15" hidden="0" customHeight="1">
      <x:c r="A9" t="str">
        <x:v>DEC-008</x:v>
      </x:c>
      <x:c r="B9" s="8" t="str">
        <x:v>Community posting launch policy</x:v>
      </x:c>
      <x:c r="C9" t="str">
        <x:v>Trust &amp; Safety</x:v>
      </x:c>
      <x:c r="D9" t="str">
        <x:v>P7</x:v>
      </x:c>
      <x:c r="E9" t="str">
        <x:v>Open</x:v>
      </x:c>
      <x:c r="F9" s="8" t="str">
        <x:v>Posting feature flagged off</x:v>
      </x:c>
    </x:row>
    <x:row r="10" ht="15" hidden="0" customHeight="1">
      <x:c r="A10" t="str">
        <x:v>DEC-009</x:v>
      </x:c>
      <x:c r="B10" s="8" t="str">
        <x:v>Minors / family guardianship</x:v>
      </x:c>
      <x:c r="C10" t="str">
        <x:v>Legal + Privacy</x:v>
      </x:c>
      <x:c r="D10" t="str">
        <x:v>P1</x:v>
      </x:c>
      <x:c r="E10" t="str">
        <x:v>Open</x:v>
      </x:c>
      <x:c r="F10" s="8" t="str">
        <x:v>No minors until approved</x:v>
      </x:c>
    </x:row>
    <x:row r="11" ht="15" hidden="0" customHeight="1">
      <x:c r="A11" t="str">
        <x:v>DEC-010</x:v>
      </x:c>
      <x:c r="B11" s="8" t="str">
        <x:v>3/6/12 month wellness cohort design</x:v>
      </x:c>
      <x:c r="C11" t="str">
        <x:v>Product Analytics</x:v>
      </x:c>
      <x:c r="D11" t="str">
        <x:v>P6</x:v>
      </x:c>
      <x:c r="E11" t="str">
        <x:v>Open</x:v>
      </x:c>
      <x:c r="F11" s="8" t="str">
        <x:v>Not an early pilot success claim</x:v>
      </x:c>
    </x:row>
  </x:sheetData>
  <x:dataValidations count="1">
    <x:dataValidation type="list" sqref="E2:E100">
      <x:formula1>"Open,In Review,Decided,Deferred"</x:formula1>
    </x:dataValidation>
  </x:dataValidations>
  <x:pageMargins left="0.7" right="0.7" top="0.75" bottom="0.75" header="0.3" footer="0.3"/>
  <x:tableParts count="1">
    <x:tablePart xmlns:r="http://schemas.openxmlformats.org/officeDocument/2006/relationships" r:id="R0bfdc0eb09b041a2"/>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8" hidden="0" customWidth="1"/>
    <x:col min="3" max="3" width="55" hidden="0" customWidth="1"/>
    <x:col min="4" max="4" width="12" hidden="0" customWidth="1"/>
    <x:col min="5" max="5" width="14" hidden="0" customWidth="1"/>
  </x:cols>
  <x:sheetData>
    <x:row r="1" ht="30" customHeight="1">
      <x:c r="A1" s="4" t="str">
        <x:v>Prerequisite Task</x:v>
      </x:c>
      <x:c r="B1" s="4" t="str">
        <x:v>Blocked Task</x:v>
      </x:c>
      <x:c r="C1" s="4" t="str">
        <x:v>Downstream Work</x:v>
      </x:c>
      <x:c r="D1" s="4" t="str">
        <x:v>Phase</x:v>
      </x:c>
      <x:c r="E1" s="4" t="str">
        <x:v>Priority</x:v>
      </x:c>
    </x:row>
    <x:row r="2" ht="24" customHeight="1">
      <x:c r="A2" t="str">
        <x:v>BV-001</x:v>
      </x:c>
      <x:c r="B2" t="str">
        <x:v>BV-002</x:v>
      </x:c>
      <x:c r="C2" s="8" t="str">
        <x:v>Approve modular-monolith ADR and repository topology</x:v>
      </x:c>
      <x:c r="D2" t="str">
        <x:v>P0</x:v>
      </x:c>
      <x:c r="E2" t="str">
        <x:v>P0</x:v>
      </x:c>
    </x:row>
    <x:row r="3" ht="24" customHeight="1">
      <x:c r="A3" t="str">
        <x:v>BV-001</x:v>
      </x:c>
      <x:c r="B3" t="str">
        <x:v>BV-003</x:v>
      </x:c>
      <x:c r="C3" s="8" t="str">
        <x:v>Complete profile and consent threat model</x:v>
      </x:c>
      <x:c r="D3" t="str">
        <x:v>P0</x:v>
      </x:c>
      <x:c r="E3" t="str">
        <x:v>P0</x:v>
      </x:c>
    </x:row>
    <x:row r="4" ht="24" customHeight="1">
      <x:c r="A4" t="str">
        <x:v>BV-001</x:v>
      </x:c>
      <x:c r="B4" t="str">
        <x:v>BV-004</x:v>
      </x:c>
      <x:c r="C4" s="8" t="str">
        <x:v>Appoint clinical/lab reviewer and define golden-set governance</x:v>
      </x:c>
      <x:c r="D4" t="str">
        <x:v>P0</x:v>
      </x:c>
      <x:c r="E4" t="str">
        <x:v>P0</x:v>
      </x:c>
    </x:row>
    <x:row r="5" ht="24" customHeight="1">
      <x:c r="A5" t="str">
        <x:v>BV-002</x:v>
      </x:c>
      <x:c r="B5" t="str">
        <x:v>BV-005</x:v>
      </x:c>
      <x:c r="C5" s="8" t="str">
        <x:v>Initialize monorepo, formatter, linting, test runner</x:v>
      </x:c>
      <x:c r="D5" t="str">
        <x:v>P0</x:v>
      </x:c>
      <x:c r="E5" t="str">
        <x:v>P0</x:v>
      </x:c>
    </x:row>
    <x:row r="6" ht="24" customHeight="1">
      <x:c r="A6" t="str">
        <x:v>BV-002</x:v>
      </x:c>
      <x:c r="B6" t="str">
        <x:v>BV-006</x:v>
      </x:c>
      <x:c r="C6" s="8" t="str">
        <x:v>Approve Gateway and agent service contracts</x:v>
      </x:c>
      <x:c r="D6" t="str">
        <x:v>P0</x:v>
      </x:c>
      <x:c r="E6" t="str">
        <x:v>P0</x:v>
      </x:c>
    </x:row>
    <x:row r="7" ht="24" customHeight="1">
      <x:c r="A7" t="str">
        <x:v>BV-003</x:v>
      </x:c>
      <x:c r="B7" t="str">
        <x:v>BV-006</x:v>
      </x:c>
      <x:c r="C7" s="8" t="str">
        <x:v>Approve Gateway and agent service contracts</x:v>
      </x:c>
      <x:c r="D7" t="str">
        <x:v>P0</x:v>
      </x:c>
      <x:c r="E7" t="str">
        <x:v>P0</x:v>
      </x:c>
    </x:row>
    <x:row r="8" ht="24" customHeight="1">
      <x:c r="A8" t="str">
        <x:v>BV-003</x:v>
      </x:c>
      <x:c r="B8" t="str">
        <x:v>BV-007</x:v>
      </x:c>
      <x:c r="C8" s="8" t="str">
        <x:v>Decide target jurisdiction, hosting, languages and minors scope</x:v>
      </x:c>
      <x:c r="D8" t="str">
        <x:v>P0</x:v>
      </x:c>
      <x:c r="E8" t="str">
        <x:v>P0</x:v>
      </x:c>
    </x:row>
    <x:row r="9" ht="24" customHeight="1">
      <x:c r="A9" t="str">
        <x:v>BV-005</x:v>
      </x:c>
      <x:c r="B9" t="str">
        <x:v>BV-008</x:v>
      </x:c>
      <x:c r="C9" s="8" t="str">
        <x:v>Implement verified-email auth and sessions</x:v>
      </x:c>
      <x:c r="D9" t="str">
        <x:v>P1</x:v>
      </x:c>
      <x:c r="E9" t="str">
        <x:v>P0</x:v>
      </x:c>
    </x:row>
    <x:row r="10" ht="24" customHeight="1">
      <x:c r="A10" t="str">
        <x:v>BV-003</x:v>
      </x:c>
      <x:c r="B10" t="str">
        <x:v>BV-008</x:v>
      </x:c>
      <x:c r="C10" s="8" t="str">
        <x:v>Implement verified-email auth and sessions</x:v>
      </x:c>
      <x:c r="D10" t="str">
        <x:v>P1</x:v>
      </x:c>
      <x:c r="E10" t="str">
        <x:v>P0</x:v>
      </x:c>
    </x:row>
    <x:row r="11" ht="24" customHeight="1">
      <x:c r="A11" t="str">
        <x:v>BV-008</x:v>
      </x:c>
      <x:c r="B11" t="str">
        <x:v>BV-009</x:v>
      </x:c>
      <x:c r="C11" s="8" t="str">
        <x:v>Implement family profiles, authorization grants and audit</x:v>
      </x:c>
      <x:c r="D11" t="str">
        <x:v>P1</x:v>
      </x:c>
      <x:c r="E11" t="str">
        <x:v>P0</x:v>
      </x:c>
    </x:row>
    <x:row r="12" ht="24" customHeight="1">
      <x:c r="A12" t="str">
        <x:v>BV-003</x:v>
      </x:c>
      <x:c r="B12" t="str">
        <x:v>BV-009</x:v>
      </x:c>
      <x:c r="C12" s="8" t="str">
        <x:v>Implement family profiles, authorization grants and audit</x:v>
      </x:c>
      <x:c r="D12" t="str">
        <x:v>P1</x:v>
      </x:c>
      <x:c r="E12" t="str">
        <x:v>P0</x:v>
      </x:c>
    </x:row>
    <x:row r="13" ht="24" customHeight="1">
      <x:c r="A13" t="str">
        <x:v>BV-005</x:v>
      </x:c>
      <x:c r="B13" t="str">
        <x:v>BV-010</x:v>
      </x:c>
      <x:c r="C13" s="8" t="str">
        <x:v>Create canonical health schema and migrations</x:v>
      </x:c>
      <x:c r="D13" t="str">
        <x:v>P1</x:v>
      </x:c>
      <x:c r="E13" t="str">
        <x:v>P0</x:v>
      </x:c>
    </x:row>
    <x:row r="14" ht="24" customHeight="1">
      <x:c r="A14" t="str">
        <x:v>BV-004</x:v>
      </x:c>
      <x:c r="B14" t="str">
        <x:v>BV-010</x:v>
      </x:c>
      <x:c r="C14" s="8" t="str">
        <x:v>Create canonical health schema and migrations</x:v>
      </x:c>
      <x:c r="D14" t="str">
        <x:v>P1</x:v>
      </x:c>
      <x:c r="E14" t="str">
        <x:v>P0</x:v>
      </x:c>
    </x:row>
    <x:row r="15" ht="24" customHeight="1">
      <x:c r="A15" t="str">
        <x:v>BV-005</x:v>
      </x:c>
      <x:c r="B15" t="str">
        <x:v>BV-011</x:v>
      </x:c>
      <x:c r="C15" s="8" t="str">
        <x:v>Create object storage, signed access and async job framework</x:v>
      </x:c>
      <x:c r="D15" t="str">
        <x:v>P1</x:v>
      </x:c>
      <x:c r="E15" t="str">
        <x:v>P0</x:v>
      </x:c>
    </x:row>
    <x:row r="16" ht="24" customHeight="1">
      <x:c r="A16" t="str">
        <x:v>BV-003</x:v>
      </x:c>
      <x:c r="B16" t="str">
        <x:v>BV-011</x:v>
      </x:c>
      <x:c r="C16" s="8" t="str">
        <x:v>Create object storage, signed access and async job framework</x:v>
      </x:c>
      <x:c r="D16" t="str">
        <x:v>P1</x:v>
      </x:c>
      <x:c r="E16" t="str">
        <x:v>P0</x:v>
      </x:c>
    </x:row>
    <x:row r="17" ht="24" customHeight="1">
      <x:c r="A17" t="str">
        <x:v>BV-001</x:v>
      </x:c>
      <x:c r="B17" t="str">
        <x:v>BV-012</x:v>
      </x:c>
      <x:c r="C17" s="8" t="str">
        <x:v>Build app shell, tabs, profile switch, auth screens</x:v>
      </x:c>
      <x:c r="D17" t="str">
        <x:v>P1</x:v>
      </x:c>
      <x:c r="E17" t="str">
        <x:v>P0</x:v>
      </x:c>
    </x:row>
    <x:row r="18" ht="24" customHeight="1">
      <x:c r="A18" t="str">
        <x:v>BV-008</x:v>
      </x:c>
      <x:c r="B18" t="str">
        <x:v>BV-012</x:v>
      </x:c>
      <x:c r="C18" s="8" t="str">
        <x:v>Build app shell, tabs, profile switch, auth screens</x:v>
      </x:c>
      <x:c r="D18" t="str">
        <x:v>P1</x:v>
      </x:c>
      <x:c r="E18" t="str">
        <x:v>P0</x:v>
      </x:c>
    </x:row>
    <x:row r="19" ht="24" customHeight="1">
      <x:c r="A19" t="str">
        <x:v>BV-009</x:v>
      </x:c>
      <x:c r="B19" t="str">
        <x:v>BV-013</x:v>
      </x:c>
      <x:c r="C19" s="8" t="str">
        <x:v>Set contract and permission integration tests</x:v>
      </x:c>
      <x:c r="D19" t="str">
        <x:v>P1</x:v>
      </x:c>
      <x:c r="E19" t="str">
        <x:v>P0</x:v>
      </x:c>
    </x:row>
    <x:row r="20" ht="24" customHeight="1">
      <x:c r="A20" t="str">
        <x:v>BV-010</x:v>
      </x:c>
      <x:c r="B20" t="str">
        <x:v>BV-013</x:v>
      </x:c>
      <x:c r="C20" s="8" t="str">
        <x:v>Set contract and permission integration tests</x:v>
      </x:c>
      <x:c r="D20" t="str">
        <x:v>P1</x:v>
      </x:c>
      <x:c r="E20" t="str">
        <x:v>P0</x:v>
      </x:c>
    </x:row>
    <x:row r="21" ht="24" customHeight="1">
      <x:c r="A21" t="str">
        <x:v>BV-011</x:v>
      </x:c>
      <x:c r="B21" t="str">
        <x:v>BV-013</x:v>
      </x:c>
      <x:c r="C21" s="8" t="str">
        <x:v>Set contract and permission integration tests</x:v>
      </x:c>
      <x:c r="D21" t="str">
        <x:v>P1</x:v>
      </x:c>
      <x:c r="E21" t="str">
        <x:v>P0</x:v>
      </x:c>
    </x:row>
    <x:row r="22" ht="24" customHeight="1">
      <x:c r="A22" t="str">
        <x:v>BV-009</x:v>
      </x:c>
      <x:c r="B22" t="str">
        <x:v>BV-014</x:v>
      </x:c>
      <x:c r="C22" s="8" t="str">
        <x:v>Implement report upload and document identity quarantine</x:v>
      </x:c>
      <x:c r="D22" t="str">
        <x:v>P2</x:v>
      </x:c>
      <x:c r="E22" t="str">
        <x:v>P0</x:v>
      </x:c>
    </x:row>
    <x:row r="23" ht="24" customHeight="1">
      <x:c r="A23" t="str">
        <x:v>BV-010</x:v>
      </x:c>
      <x:c r="B23" t="str">
        <x:v>BV-014</x:v>
      </x:c>
      <x:c r="C23" s="8" t="str">
        <x:v>Implement report upload and document identity quarantine</x:v>
      </x:c>
      <x:c r="D23" t="str">
        <x:v>P2</x:v>
      </x:c>
      <x:c r="E23" t="str">
        <x:v>P0</x:v>
      </x:c>
    </x:row>
    <x:row r="24" ht="24" customHeight="1">
      <x:c r="A24" t="str">
        <x:v>BV-011</x:v>
      </x:c>
      <x:c r="B24" t="str">
        <x:v>BV-014</x:v>
      </x:c>
      <x:c r="C24" s="8" t="str">
        <x:v>Implement report upload and document identity quarantine</x:v>
      </x:c>
      <x:c r="D24" t="str">
        <x:v>P2</x:v>
      </x:c>
      <x:c r="E24" t="str">
        <x:v>P0</x:v>
      </x:c>
    </x:row>
    <x:row r="25" ht="24" customHeight="1">
      <x:c r="A25" t="str">
        <x:v>BV-014</x:v>
      </x:c>
      <x:c r="B25" t="str">
        <x:v>BV-015</x:v>
      </x:c>
      <x:c r="C25" s="8" t="str">
        <x:v>Build OCR adapter and layout-aware extraction pipeline</x:v>
      </x:c>
      <x:c r="D25" t="str">
        <x:v>P2</x:v>
      </x:c>
      <x:c r="E25" t="str">
        <x:v>P0</x:v>
      </x:c>
    </x:row>
    <x:row r="26" ht="24" customHeight="1">
      <x:c r="A26" t="str">
        <x:v>BV-006</x:v>
      </x:c>
      <x:c r="B26" t="str">
        <x:v>BV-015</x:v>
      </x:c>
      <x:c r="C26" s="8" t="str">
        <x:v>Build OCR adapter and layout-aware extraction pipeline</x:v>
      </x:c>
      <x:c r="D26" t="str">
        <x:v>P2</x:v>
      </x:c>
      <x:c r="E26" t="str">
        <x:v>P0</x:v>
      </x:c>
    </x:row>
    <x:row r="27" ht="24" customHeight="1">
      <x:c r="A27" t="str">
        <x:v>BV-015</x:v>
      </x:c>
      <x:c r="B27" t="str">
        <x:v>BV-016</x:v>
      </x:c>
      <x:c r="C27" s="8" t="str">
        <x:v>Build human verification/correction UI</x:v>
      </x:c>
      <x:c r="D27" t="str">
        <x:v>P2</x:v>
      </x:c>
      <x:c r="E27" t="str">
        <x:v>P0</x:v>
      </x:c>
    </x:row>
    <x:row r="28" ht="24" customHeight="1">
      <x:c r="A28" t="str">
        <x:v>BV-012</x:v>
      </x:c>
      <x:c r="B28" t="str">
        <x:v>BV-016</x:v>
      </x:c>
      <x:c r="C28" s="8" t="str">
        <x:v>Build human verification/correction UI</x:v>
      </x:c>
      <x:c r="D28" t="str">
        <x:v>P2</x:v>
      </x:c>
      <x:c r="E28" t="str">
        <x:v>P0</x:v>
      </x:c>
    </x:row>
    <x:row r="29" ht="24" customHeight="1">
      <x:c r="A29" t="str">
        <x:v>BV-010</x:v>
      </x:c>
      <x:c r="B29" t="str">
        <x:v>BV-017</x:v>
      </x:c>
      <x:c r="C29" s="8" t="str">
        <x:v>Implement source observation storage and status changes</x:v>
      </x:c>
      <x:c r="D29" t="str">
        <x:v>P2</x:v>
      </x:c>
      <x:c r="E29" t="str">
        <x:v>P0</x:v>
      </x:c>
    </x:row>
    <x:row r="30" ht="24" customHeight="1">
      <x:c r="A30" t="str">
        <x:v>BV-015</x:v>
      </x:c>
      <x:c r="B30" t="str">
        <x:v>BV-017</x:v>
      </x:c>
      <x:c r="C30" s="8" t="str">
        <x:v>Implement source observation storage and status changes</x:v>
      </x:c>
      <x:c r="D30" t="str">
        <x:v>P2</x:v>
      </x:c>
      <x:c r="E30" t="str">
        <x:v>P0</x:v>
      </x:c>
    </x:row>
    <x:row r="31" ht="24" customHeight="1">
      <x:c r="A31" t="str">
        <x:v>BV-015</x:v>
      </x:c>
      <x:c r="B31" t="str">
        <x:v>BV-018</x:v>
      </x:c>
      <x:c r="C31" s="8" t="str">
        <x:v>Build 50+ synthetic clinical extraction golden cases</x:v>
      </x:c>
      <x:c r="D31" t="str">
        <x:v>P2</x:v>
      </x:c>
      <x:c r="E31" t="str">
        <x:v>P0</x:v>
      </x:c>
    </x:row>
    <x:row r="32" ht="24" customHeight="1">
      <x:c r="A32" t="str">
        <x:v>BV-004</x:v>
      </x:c>
      <x:c r="B32" t="str">
        <x:v>BV-018</x:v>
      </x:c>
      <x:c r="C32" s="8" t="str">
        <x:v>Build 50+ synthetic clinical extraction golden cases</x:v>
      </x:c>
      <x:c r="D32" t="str">
        <x:v>P2</x:v>
      </x:c>
      <x:c r="E32" t="str">
        <x:v>P0</x:v>
      </x:c>
    </x:row>
    <x:row r="33" ht="24" customHeight="1">
      <x:c r="A33" t="str">
        <x:v>BV-017</x:v>
      </x:c>
      <x:c r="B33" t="str">
        <x:v>BV-019</x:v>
      </x:c>
      <x:c r="C33" s="8" t="str">
        <x:v>Implement comparability cohorts and controlled aggregation</x:v>
      </x:c>
      <x:c r="D33" t="str">
        <x:v>P3</x:v>
      </x:c>
      <x:c r="E33" t="str">
        <x:v>P0</x:v>
      </x:c>
    </x:row>
    <x:row r="34" ht="24" customHeight="1">
      <x:c r="A34" t="str">
        <x:v>BV-018</x:v>
      </x:c>
      <x:c r="B34" t="str">
        <x:v>BV-019</x:v>
      </x:c>
      <x:c r="C34" s="8" t="str">
        <x:v>Implement comparability cohorts and controlled aggregation</x:v>
      </x:c>
      <x:c r="D34" t="str">
        <x:v>P3</x:v>
      </x:c>
      <x:c r="E34" t="str">
        <x:v>P0</x:v>
      </x:c>
    </x:row>
    <x:row r="35" ht="24" customHeight="1">
      <x:c r="A35" t="str">
        <x:v>BV-019</x:v>
      </x:c>
      <x:c r="B35" t="str">
        <x:v>BV-020</x:v>
      </x:c>
      <x:c r="C35" s="8" t="str">
        <x:v>Implement versioned longitudinal biomarker trends</x:v>
      </x:c>
      <x:c r="D35" t="str">
        <x:v>P3</x:v>
      </x:c>
      <x:c r="E35" t="str">
        <x:v>P0</x:v>
      </x:c>
    </x:row>
    <x:row r="36" ht="24" customHeight="1">
      <x:c r="A36" t="str">
        <x:v>BV-016</x:v>
      </x:c>
      <x:c r="B36" t="str">
        <x:v>BV-021</x:v>
      </x:c>
      <x:c r="C36" s="8" t="str">
        <x:v>Create health dashboard and report evidence drilldowns</x:v>
      </x:c>
      <x:c r="D36" t="str">
        <x:v>P3</x:v>
      </x:c>
      <x:c r="E36" t="str">
        <x:v>P1</x:v>
      </x:c>
    </x:row>
    <x:row r="37" ht="24" customHeight="1">
      <x:c r="A37" t="str">
        <x:v>BV-020</x:v>
      </x:c>
      <x:c r="B37" t="str">
        <x:v>BV-021</x:v>
      </x:c>
      <x:c r="C37" s="8" t="str">
        <x:v>Create health dashboard and report evidence drilldowns</x:v>
      </x:c>
      <x:c r="D37" t="str">
        <x:v>P3</x:v>
      </x:c>
      <x:c r="E37" t="str">
        <x:v>P1</x:v>
      </x:c>
    </x:row>
    <x:row r="38" ht="24" customHeight="1">
      <x:c r="A38" t="str">
        <x:v>BV-019</x:v>
      </x:c>
      <x:c r="B38" t="str">
        <x:v>BV-022</x:v>
      </x:c>
      <x:c r="C38" s="8" t="str">
        <x:v>Implement cross-report comparison service</x:v>
      </x:c>
      <x:c r="D38" t="str">
        <x:v>P3</x:v>
      </x:c>
      <x:c r="E38" t="str">
        <x:v>P0</x:v>
      </x:c>
    </x:row>
    <x:row r="39" ht="24" customHeight="1">
      <x:c r="A39" t="str">
        <x:v>BV-020</x:v>
      </x:c>
      <x:c r="B39" t="str">
        <x:v>BV-022</x:v>
      </x:c>
      <x:c r="C39" s="8" t="str">
        <x:v>Implement cross-report comparison service</x:v>
      </x:c>
      <x:c r="D39" t="str">
        <x:v>P3</x:v>
      </x:c>
      <x:c r="E39" t="str">
        <x:v>P0</x:v>
      </x:c>
    </x:row>
    <x:row r="40" ht="24" customHeight="1">
      <x:c r="A40" t="str">
        <x:v>BV-021</x:v>
      </x:c>
      <x:c r="B40" t="str">
        <x:v>BV-023</x:v>
      </x:c>
      <x:c r="C40" s="8" t="str">
        <x:v>Validate clinical interpretations and provenance UX</x:v>
      </x:c>
      <x:c r="D40" t="str">
        <x:v>P3</x:v>
      </x:c>
      <x:c r="E40" t="str">
        <x:v>P0</x:v>
      </x:c>
    </x:row>
    <x:row r="41" ht="24" customHeight="1">
      <x:c r="A41" t="str">
        <x:v>BV-022</x:v>
      </x:c>
      <x:c r="B41" t="str">
        <x:v>BV-023</x:v>
      </x:c>
      <x:c r="C41" s="8" t="str">
        <x:v>Validate clinical interpretations and provenance UX</x:v>
      </x:c>
      <x:c r="D41" t="str">
        <x:v>P3</x:v>
      </x:c>
      <x:c r="E41" t="str">
        <x:v>P0</x:v>
      </x:c>
    </x:row>
    <x:row r="42" ht="24" customHeight="1">
      <x:c r="A42" t="str">
        <x:v>BV-006</x:v>
      </x:c>
      <x:c r="B42" t="str">
        <x:v>BV-024</x:v>
      </x:c>
      <x:c r="C42" s="8" t="str">
        <x:v>Implement provider-neutral AI Gateway</x:v>
      </x:c>
      <x:c r="D42" t="str">
        <x:v>P4</x:v>
      </x:c>
      <x:c r="E42" t="str">
        <x:v>P0</x:v>
      </x:c>
    </x:row>
    <x:row r="43" ht="24" customHeight="1">
      <x:c r="A43" t="str">
        <x:v>BV-005</x:v>
      </x:c>
      <x:c r="B43" t="str">
        <x:v>BV-024</x:v>
      </x:c>
      <x:c r="C43" s="8" t="str">
        <x:v>Implement provider-neutral AI Gateway</x:v>
      </x:c>
      <x:c r="D43" t="str">
        <x:v>P4</x:v>
      </x:c>
      <x:c r="E43" t="str">
        <x:v>P0</x:v>
      </x:c>
    </x:row>
    <x:row r="44" ht="24" customHeight="1">
      <x:c r="A44" t="str">
        <x:v>BV-009</x:v>
      </x:c>
      <x:c r="B44" t="str">
        <x:v>BV-025</x:v>
      </x:c>
      <x:c r="C44" s="8" t="str">
        <x:v>Implement permission-checked tool registry and adapters</x:v>
      </x:c>
      <x:c r="D44" t="str">
        <x:v>P4</x:v>
      </x:c>
      <x:c r="E44" t="str">
        <x:v>P0</x:v>
      </x:c>
    </x:row>
    <x:row r="45" ht="24" customHeight="1">
      <x:c r="A45" t="str">
        <x:v>BV-022</x:v>
      </x:c>
      <x:c r="B45" t="str">
        <x:v>BV-025</x:v>
      </x:c>
      <x:c r="C45" s="8" t="str">
        <x:v>Implement permission-checked tool registry and adapters</x:v>
      </x:c>
      <x:c r="D45" t="str">
        <x:v>P4</x:v>
      </x:c>
      <x:c r="E45" t="str">
        <x:v>P0</x:v>
      </x:c>
    </x:row>
    <x:row r="46" ht="24" customHeight="1">
      <x:c r="A46" t="str">
        <x:v>BV-024</x:v>
      </x:c>
      <x:c r="B46" t="str">
        <x:v>BV-025</x:v>
      </x:c>
      <x:c r="C46" s="8" t="str">
        <x:v>Implement permission-checked tool registry and adapters</x:v>
      </x:c>
      <x:c r="D46" t="str">
        <x:v>P4</x:v>
      </x:c>
      <x:c r="E46" t="str">
        <x:v>P0</x:v>
      </x:c>
    </x:row>
    <x:row r="47" ht="24" customHeight="1">
      <x:c r="A47" t="str">
        <x:v>BV-025</x:v>
      </x:c>
      <x:c r="B47" t="str">
        <x:v>BV-026</x:v>
      </x:c>
      <x:c r="C47" s="8" t="str">
        <x:v>Build context manifest and conversation orchestrator</x:v>
      </x:c>
      <x:c r="D47" t="str">
        <x:v>P4</x:v>
      </x:c>
      <x:c r="E47" t="str">
        <x:v>P0</x:v>
      </x:c>
    </x:row>
    <x:row r="48" ht="24" customHeight="1">
      <x:c r="A48" t="str">
        <x:v>BV-026</x:v>
      </x:c>
      <x:c r="B48" t="str">
        <x:v>BV-027</x:v>
      </x:c>
      <x:c r="C48" s="8" t="str">
        <x:v>Build structured chat UI cards and citations</x:v>
      </x:c>
      <x:c r="D48" t="str">
        <x:v>P4</x:v>
      </x:c>
      <x:c r="E48" t="str">
        <x:v>P1</x:v>
      </x:c>
    </x:row>
    <x:row r="49" ht="24" customHeight="1">
      <x:c r="A49" t="str">
        <x:v>BV-012</x:v>
      </x:c>
      <x:c r="B49" t="str">
        <x:v>BV-027</x:v>
      </x:c>
      <x:c r="C49" s="8" t="str">
        <x:v>Build structured chat UI cards and citations</x:v>
      </x:c>
      <x:c r="D49" t="str">
        <x:v>P4</x:v>
      </x:c>
      <x:c r="E49" t="str">
        <x:v>P1</x:v>
      </x:c>
    </x:row>
    <x:row r="50" ht="24" customHeight="1">
      <x:c r="A50" t="str">
        <x:v>BV-026</x:v>
      </x:c>
      <x:c r="B50" t="str">
        <x:v>BV-028</x:v>
      </x:c>
      <x:c r="C50" s="8" t="str">
        <x:v>Run AI injection/PHI and provider regression suite</x:v>
      </x:c>
      <x:c r="D50" t="str">
        <x:v>P4</x:v>
      </x:c>
      <x:c r="E50" t="str">
        <x:v>P0</x:v>
      </x:c>
    </x:row>
    <x:row r="51" ht="24" customHeight="1">
      <x:c r="A51" t="str">
        <x:v>BV-027</x:v>
      </x:c>
      <x:c r="B51" t="str">
        <x:v>BV-028</x:v>
      </x:c>
      <x:c r="C51" s="8" t="str">
        <x:v>Run AI injection/PHI and provider regression suite</x:v>
      </x:c>
      <x:c r="D51" t="str">
        <x:v>P4</x:v>
      </x:c>
      <x:c r="E51" t="str">
        <x:v>P0</x:v>
      </x:c>
    </x:row>
    <x:row r="52" ht="24" customHeight="1">
      <x:c r="A52" t="str">
        <x:v>BV-023</x:v>
      </x:c>
      <x:c r="B52" t="str">
        <x:v>BV-029</x:v>
      </x:c>
      <x:c r="C52" s="8" t="str">
        <x:v>Create consented pilot protocol and qualitative interview plan</x:v>
      </x:c>
      <x:c r="D52" t="str">
        <x:v>P5</x:v>
      </x:c>
      <x:c r="E52" t="str">
        <x:v>P0</x:v>
      </x:c>
    </x:row>
    <x:row r="53" ht="24" customHeight="1">
      <x:c r="A53" t="str">
        <x:v>BV-028</x:v>
      </x:c>
      <x:c r="B53" t="str">
        <x:v>BV-029</x:v>
      </x:c>
      <x:c r="C53" s="8" t="str">
        <x:v>Create consented pilot protocol and qualitative interview plan</x:v>
      </x:c>
      <x:c r="D53" t="str">
        <x:v>P5</x:v>
      </x:c>
      <x:c r="E53" t="str">
        <x:v>P0</x:v>
      </x:c>
    </x:row>
    <x:row r="54" ht="24" customHeight="1">
      <x:c r="A54" t="str">
        <x:v>BV-029</x:v>
      </x:c>
      <x:c r="B54" t="str">
        <x:v>BV-030</x:v>
      </x:c>
      <x:c r="C54" s="8" t="str">
        <x:v>E2E user journeys and accessibility/l10n audit</x:v>
      </x:c>
      <x:c r="D54" t="str">
        <x:v>P5</x:v>
      </x:c>
      <x:c r="E54" t="str">
        <x:v>P0</x:v>
      </x:c>
    </x:row>
    <x:row r="55" ht="24" customHeight="1">
      <x:c r="A55" t="str">
        <x:v>BV-024</x:v>
      </x:c>
      <x:c r="B55" t="str">
        <x:v>BV-031</x:v>
      </x:c>
      <x:c r="C55" s="8" t="str">
        <x:v>Instrument production-like observability and back-up restore</x:v>
      </x:c>
      <x:c r="D55" t="str">
        <x:v>P5</x:v>
      </x:c>
      <x:c r="E55" t="str">
        <x:v>P0</x:v>
      </x:c>
    </x:row>
    <x:row r="56" ht="24" customHeight="1">
      <x:c r="A56" t="str">
        <x:v>BV-011</x:v>
      </x:c>
      <x:c r="B56" t="str">
        <x:v>BV-031</x:v>
      </x:c>
      <x:c r="C56" s="8" t="str">
        <x:v>Instrument production-like observability and back-up restore</x:v>
      </x:c>
      <x:c r="D56" t="str">
        <x:v>P5</x:v>
      </x:c>
      <x:c r="E56" t="str">
        <x:v>P0</x:v>
      </x:c>
    </x:row>
    <x:row r="57" ht="24" customHeight="1">
      <x:c r="A57" t="str">
        <x:v>BV-030</x:v>
      </x:c>
      <x:c r="B57" t="str">
        <x:v>BV-032</x:v>
      </x:c>
      <x:c r="C57" s="8" t="str">
        <x:v>Run controlled health + AI pilot and address defects</x:v>
      </x:c>
      <x:c r="D57" t="str">
        <x:v>P5</x:v>
      </x:c>
      <x:c r="E57" t="str">
        <x:v>P0</x:v>
      </x:c>
    </x:row>
    <x:row r="58" ht="24" customHeight="1">
      <x:c r="A58" t="str">
        <x:v>BV-031</x:v>
      </x:c>
      <x:c r="B58" t="str">
        <x:v>BV-032</x:v>
      </x:c>
      <x:c r="C58" s="8" t="str">
        <x:v>Run controlled health + AI pilot and address defects</x:v>
      </x:c>
      <x:c r="D58" t="str">
        <x:v>P5</x:v>
      </x:c>
      <x:c r="E58" t="str">
        <x:v>P0</x:v>
      </x:c>
    </x:row>
    <x:row r="59" ht="24" customHeight="1">
      <x:c r="A59" t="str">
        <x:v>BV-009</x:v>
      </x:c>
      <x:c r="B59" t="str">
        <x:v>BV-033</x:v>
      </x:c>
      <x:c r="C59" s="8" t="str">
        <x:v>Implement wellness profile, baseline and goal selection</x:v>
      </x:c>
      <x:c r="D59" t="str">
        <x:v>P6</x:v>
      </x:c>
      <x:c r="E59" t="str">
        <x:v>P0</x:v>
      </x:c>
    </x:row>
    <x:row r="60" ht="24" customHeight="1">
      <x:c r="A60" t="str">
        <x:v>BV-012</x:v>
      </x:c>
      <x:c r="B60" t="str">
        <x:v>BV-033</x:v>
      </x:c>
      <x:c r="C60" s="8" t="str">
        <x:v>Implement wellness profile, baseline and goal selection</x:v>
      </x:c>
      <x:c r="D60" t="str">
        <x:v>P6</x:v>
      </x:c>
      <x:c r="E60" t="str">
        <x:v>P0</x:v>
      </x:c>
    </x:row>
    <x:row r="61" ht="24" customHeight="1">
      <x:c r="A61" t="str">
        <x:v>BV-032</x:v>
      </x:c>
      <x:c r="B61" t="str">
        <x:v>BV-033</x:v>
      </x:c>
      <x:c r="C61" s="8" t="str">
        <x:v>Implement wellness profile, baseline and goal selection</x:v>
      </x:c>
      <x:c r="D61" t="str">
        <x:v>P6</x:v>
      </x:c>
      <x:c r="E61" t="str">
        <x:v>P0</x:v>
      </x:c>
    </x:row>
    <x:row r="62" ht="24" customHeight="1">
      <x:c r="A62" t="str">
        <x:v>BV-004</x:v>
      </x:c>
      <x:c r="B62" t="str">
        <x:v>BV-034</x:v>
      </x:c>
      <x:c r="C62" s="8" t="str">
        <x:v>Approve action catalogue and eligibility policies</x:v>
      </x:c>
      <x:c r="D62" t="str">
        <x:v>P6</x:v>
      </x:c>
      <x:c r="E62" t="str">
        <x:v>P0</x:v>
      </x:c>
    </x:row>
    <x:row r="63" ht="24" customHeight="1">
      <x:c r="A63" t="str">
        <x:v>BV-033</x:v>
      </x:c>
      <x:c r="B63" t="str">
        <x:v>BV-034</x:v>
      </x:c>
      <x:c r="C63" s="8" t="str">
        <x:v>Approve action catalogue and eligibility policies</x:v>
      </x:c>
      <x:c r="D63" t="str">
        <x:v>P6</x:v>
      </x:c>
      <x:c r="E63" t="str">
        <x:v>P0</x:v>
      </x:c>
    </x:row>
    <x:row r="64" ht="24" customHeight="1">
      <x:c r="A64" t="str">
        <x:v>BV-033</x:v>
      </x:c>
      <x:c r="B64" t="str">
        <x:v>BV-035</x:v>
      </x:c>
      <x:c r="C64" s="8" t="str">
        <x:v>Implement plan engine and user-selected variants</x:v>
      </x:c>
      <x:c r="D64" t="str">
        <x:v>P6</x:v>
      </x:c>
      <x:c r="E64" t="str">
        <x:v>P0</x:v>
      </x:c>
    </x:row>
    <x:row r="65" ht="24" customHeight="1">
      <x:c r="A65" t="str">
        <x:v>BV-034</x:v>
      </x:c>
      <x:c r="B65" t="str">
        <x:v>BV-035</x:v>
      </x:c>
      <x:c r="C65" s="8" t="str">
        <x:v>Implement plan engine and user-selected variants</x:v>
      </x:c>
      <x:c r="D65" t="str">
        <x:v>P6</x:v>
      </x:c>
      <x:c r="E65" t="str">
        <x:v>P0</x:v>
      </x:c>
    </x:row>
    <x:row r="66" ht="24" customHeight="1">
      <x:c r="A66" t="str">
        <x:v>BV-035</x:v>
      </x:c>
      <x:c r="B66" t="str">
        <x:v>BV-036</x:v>
      </x:c>
      <x:c r="C66" s="8" t="str">
        <x:v>Implement check-ins, barrier and recovery flow</x:v>
      </x:c>
      <x:c r="D66" t="str">
        <x:v>P6</x:v>
      </x:c>
      <x:c r="E66" t="str">
        <x:v>P0</x:v>
      </x:c>
    </x:row>
    <x:row r="67" ht="24" customHeight="1">
      <x:c r="A67" t="str">
        <x:v>BV-035</x:v>
      </x:c>
      <x:c r="B67" t="str">
        <x:v>BV-037</x:v>
      </x:c>
      <x:c r="C67" s="8" t="str">
        <x:v>Add authorized Wellness Coach tools and cards</x:v>
      </x:c>
      <x:c r="D67" t="str">
        <x:v>P6</x:v>
      </x:c>
      <x:c r="E67" t="str">
        <x:v>P1</x:v>
      </x:c>
    </x:row>
    <x:row r="68" ht="24" customHeight="1">
      <x:c r="A68" t="str">
        <x:v>BV-026</x:v>
      </x:c>
      <x:c r="B68" t="str">
        <x:v>BV-037</x:v>
      </x:c>
      <x:c r="C68" s="8" t="str">
        <x:v>Add authorized Wellness Coach tools and cards</x:v>
      </x:c>
      <x:c r="D68" t="str">
        <x:v>P6</x:v>
      </x:c>
      <x:c r="E68" t="str">
        <x:v>P1</x:v>
      </x:c>
    </x:row>
    <x:row r="69" ht="24" customHeight="1">
      <x:c r="A69" t="str">
        <x:v>BV-033</x:v>
      </x:c>
      <x:c r="B69" t="str">
        <x:v>BV-038</x:v>
      </x:c>
      <x:c r="C69" s="8" t="str">
        <x:v>Implement manual vitals/device integration adapter</x:v>
      </x:c>
      <x:c r="D69" t="str">
        <x:v>P6</x:v>
      </x:c>
      <x:c r="E69" t="str">
        <x:v>P1</x:v>
      </x:c>
    </x:row>
    <x:row r="70" ht="24" customHeight="1">
      <x:c r="A70" t="str">
        <x:v>BV-010</x:v>
      </x:c>
      <x:c r="B70" t="str">
        <x:v>BV-038</x:v>
      </x:c>
      <x:c r="C70" s="8" t="str">
        <x:v>Implement manual vitals/device integration adapter</x:v>
      </x:c>
      <x:c r="D70" t="str">
        <x:v>P6</x:v>
      </x:c>
      <x:c r="E70" t="str">
        <x:v>P1</x:v>
      </x:c>
    </x:row>
    <x:row r="71" ht="24" customHeight="1">
      <x:c r="A71" t="str">
        <x:v>BV-036</x:v>
      </x:c>
      <x:c r="B71" t="str">
        <x:v>BV-039</x:v>
      </x:c>
      <x:c r="C71" s="8" t="str">
        <x:v>Implement preference-driven reminders and burden budget</x:v>
      </x:c>
      <x:c r="D71" t="str">
        <x:v>P6</x:v>
      </x:c>
      <x:c r="E71" t="str">
        <x:v>P1</x:v>
      </x:c>
    </x:row>
    <x:row r="72" ht="24" customHeight="1">
      <x:c r="A72" t="str">
        <x:v>BV-036</x:v>
      </x:c>
      <x:c r="B72" t="str">
        <x:v>BV-040</x:v>
      </x:c>
      <x:c r="C72" s="8" t="str">
        <x:v>Instrument sustained behavior and equity metrics</x:v>
      </x:c>
      <x:c r="D72" t="str">
        <x:v>P6</x:v>
      </x:c>
      <x:c r="E72" t="str">
        <x:v>P0</x:v>
      </x:c>
    </x:row>
    <x:row r="73" ht="24" customHeight="1">
      <x:c r="A73" t="str">
        <x:v>BV-038</x:v>
      </x:c>
      <x:c r="B73" t="str">
        <x:v>BV-040</x:v>
      </x:c>
      <x:c r="C73" s="8" t="str">
        <x:v>Instrument sustained behavior and equity metrics</x:v>
      </x:c>
      <x:c r="D73" t="str">
        <x:v>P6</x:v>
      </x:c>
      <x:c r="E73" t="str">
        <x:v>P0</x:v>
      </x:c>
    </x:row>
    <x:row r="74" ht="24" customHeight="1">
      <x:c r="A74" t="str">
        <x:v>BV-036</x:v>
      </x:c>
      <x:c r="B74" t="str">
        <x:v>BV-041</x:v>
      </x:c>
      <x:c r="C74" s="8" t="str">
        <x:v>Run wellness safety, accessibility and adaptation goldens</x:v>
      </x:c>
      <x:c r="D74" t="str">
        <x:v>P6</x:v>
      </x:c>
      <x:c r="E74" t="str">
        <x:v>P0</x:v>
      </x:c>
    </x:row>
    <x:row r="75" ht="24" customHeight="1">
      <x:c r="A75" t="str">
        <x:v>BV-037</x:v>
      </x:c>
      <x:c r="B75" t="str">
        <x:v>BV-041</x:v>
      </x:c>
      <x:c r="C75" s="8" t="str">
        <x:v>Run wellness safety, accessibility and adaptation goldens</x:v>
      </x:c>
      <x:c r="D75" t="str">
        <x:v>P6</x:v>
      </x:c>
      <x:c r="E75" t="str">
        <x:v>P0</x:v>
      </x:c>
    </x:row>
    <x:row r="76" ht="24" customHeight="1">
      <x:c r="A76" t="str">
        <x:v>BV-039</x:v>
      </x:c>
      <x:c r="B76" t="str">
        <x:v>BV-041</x:v>
      </x:c>
      <x:c r="C76" s="8" t="str">
        <x:v>Run wellness safety, accessibility and adaptation goldens</x:v>
      </x:c>
      <x:c r="D76" t="str">
        <x:v>P6</x:v>
      </x:c>
      <x:c r="E76" t="str">
        <x:v>P0</x:v>
      </x:c>
    </x:row>
    <x:row r="77" ht="24" customHeight="1">
      <x:c r="A77" t="str">
        <x:v>BV-040</x:v>
      </x:c>
      <x:c r="B77" t="str">
        <x:v>BV-041</x:v>
      </x:c>
      <x:c r="C77" s="8" t="str">
        <x:v>Run wellness safety, accessibility and adaptation goldens</x:v>
      </x:c>
      <x:c r="D77" t="str">
        <x:v>P6</x:v>
      </x:c>
      <x:c r="E77" t="str">
        <x:v>P0</x:v>
      </x:c>
    </x:row>
    <x:row r="78" ht="24" customHeight="1">
      <x:c r="A78" t="str">
        <x:v>BV-001</x:v>
      </x:c>
      <x:c r="B78" t="str">
        <x:v>BV-042</x:v>
      </x:c>
      <x:c r="C78" s="8" t="str">
        <x:v>Define reviewed source and content-label schema</x:v>
      </x:c>
      <x:c r="D78" t="str">
        <x:v>P7</x:v>
      </x:c>
      <x:c r="E78" t="str">
        <x:v>P1</x:v>
      </x:c>
    </x:row>
    <x:row r="79" ht="24" customHeight="1">
      <x:c r="A79" t="str">
        <x:v>BV-003</x:v>
      </x:c>
      <x:c r="B79" t="str">
        <x:v>BV-042</x:v>
      </x:c>
      <x:c r="C79" s="8" t="str">
        <x:v>Define reviewed source and content-label schema</x:v>
      </x:c>
      <x:c r="D79" t="str">
        <x:v>P7</x:v>
      </x:c>
      <x:c r="E79" t="str">
        <x:v>P1</x:v>
      </x:c>
    </x:row>
    <x:row r="80" ht="24" customHeight="1">
      <x:c r="A80" t="str">
        <x:v>BV-042</x:v>
      </x:c>
      <x:c r="B80" t="str">
        <x:v>BV-043</x:v>
      </x:c>
      <x:c r="C80" s="8" t="str">
        <x:v>Build curated read-only Community feed</x:v>
      </x:c>
      <x:c r="D80" t="str">
        <x:v>P7</x:v>
      </x:c>
      <x:c r="E80" t="str">
        <x:v>P1</x:v>
      </x:c>
    </x:row>
    <x:row r="81" ht="24" customHeight="1">
      <x:c r="A81" t="str">
        <x:v>BV-012</x:v>
      </x:c>
      <x:c r="B81" t="str">
        <x:v>BV-043</x:v>
      </x:c>
      <x:c r="C81" s="8" t="str">
        <x:v>Build curated read-only Community feed</x:v>
      </x:c>
      <x:c r="D81" t="str">
        <x:v>P7</x:v>
      </x:c>
      <x:c r="E81" t="str">
        <x:v>P1</x:v>
      </x:c>
    </x:row>
    <x:row r="82" ht="24" customHeight="1">
      <x:c r="A82" t="str">
        <x:v>BV-043</x:v>
      </x:c>
      <x:c r="B82" t="str">
        <x:v>BV-044</x:v>
      </x:c>
      <x:c r="C82" s="8" t="str">
        <x:v>Implement content submission + moderation queue behind flag</x:v>
      </x:c>
      <x:c r="D82" t="str">
        <x:v>P7</x:v>
      </x:c>
      <x:c r="E82" t="str">
        <x:v>P2</x:v>
      </x:c>
    </x:row>
    <x:row r="83" ht="24" customHeight="1">
      <x:c r="A83" t="str">
        <x:v>BV-024</x:v>
      </x:c>
      <x:c r="B83" t="str">
        <x:v>BV-044</x:v>
      </x:c>
      <x:c r="C83" s="8" t="str">
        <x:v>Implement content submission + moderation queue behind flag</x:v>
      </x:c>
      <x:c r="D83" t="str">
        <x:v>P7</x:v>
      </x:c>
      <x:c r="E83" t="str">
        <x:v>P2</x:v>
      </x:c>
    </x:row>
    <x:row r="84" ht="24" customHeight="1">
      <x:c r="A84" t="str">
        <x:v>BV-044</x:v>
      </x:c>
      <x:c r="B84" t="str">
        <x:v>BV-045</x:v>
      </x:c>
      <x:c r="C84" s="8" t="str">
        <x:v>Pen-test Community-to-Health/AI trust boundary</x:v>
      </x:c>
      <x:c r="D84" t="str">
        <x:v>P7</x:v>
      </x:c>
      <x:c r="E84" t="str">
        <x:v>P0</x:v>
      </x:c>
    </x:row>
    <x:row r="85" ht="24" customHeight="1">
      <x:c r="A85" t="str">
        <x:v>BV-025</x:v>
      </x:c>
      <x:c r="B85" t="str">
        <x:v>BV-045</x:v>
      </x:c>
      <x:c r="C85" s="8" t="str">
        <x:v>Pen-test Community-to-Health/AI trust boundary</x:v>
      </x:c>
      <x:c r="D85" t="str">
        <x:v>P7</x:v>
      </x:c>
      <x:c r="E85" t="str">
        <x:v>P0</x:v>
      </x:c>
    </x:row>
    <x:row r="86" ht="24" customHeight="1">
      <x:c r="A86" t="str">
        <x:v>BV-044</x:v>
      </x:c>
      <x:c r="B86" t="str">
        <x:v>BV-046</x:v>
      </x:c>
      <x:c r="C86" s="8" t="str">
        <x:v>Approve community posting launch separately</x:v>
      </x:c>
      <x:c r="D86" t="str">
        <x:v>P7</x:v>
      </x:c>
      <x:c r="E86" t="str">
        <x:v>P2</x:v>
      </x:c>
    </x:row>
    <x:row r="87" ht="24" customHeight="1">
      <x:c r="A87" t="str">
        <x:v>BV-045</x:v>
      </x:c>
      <x:c r="B87" t="str">
        <x:v>BV-046</x:v>
      </x:c>
      <x:c r="C87" s="8" t="str">
        <x:v>Approve community posting launch separately</x:v>
      </x:c>
      <x:c r="D87" t="str">
        <x:v>P7</x:v>
      </x:c>
      <x:c r="E87" t="str">
        <x:v>P2</x:v>
      </x:c>
    </x:row>
    <x:row r="88" ht="24" customHeight="1">
      <x:c r="A88" t="str">
        <x:v>BV-032</x:v>
      </x:c>
      <x:c r="B88" t="str">
        <x:v>BV-047</x:v>
      </x:c>
      <x:c r="C88" s="8" t="str">
        <x:v>Conduct external security/privacy assessment</x:v>
      </x:c>
      <x:c r="D88" t="str">
        <x:v>P8</x:v>
      </x:c>
      <x:c r="E88" t="str">
        <x:v>P0</x:v>
      </x:c>
    </x:row>
    <x:row r="89" ht="24" customHeight="1">
      <x:c r="A89" t="str">
        <x:v>BV-041</x:v>
      </x:c>
      <x:c r="B89" t="str">
        <x:v>BV-047</x:v>
      </x:c>
      <x:c r="C89" s="8" t="str">
        <x:v>Conduct external security/privacy assessment</x:v>
      </x:c>
      <x:c r="D89" t="str">
        <x:v>P8</x:v>
      </x:c>
      <x:c r="E89" t="str">
        <x:v>P0</x:v>
      </x:c>
    </x:row>
    <x:row r="90" ht="24" customHeight="1">
      <x:c r="A90" t="str">
        <x:v>BV-031</x:v>
      </x:c>
      <x:c r="B90" t="str">
        <x:v>BV-048</x:v>
      </x:c>
      <x:c r="C90" s="8" t="str">
        <x:v>Test rollback, disaster recovery and SLO alerting</x:v>
      </x:c>
      <x:c r="D90" t="str">
        <x:v>P8</x:v>
      </x:c>
      <x:c r="E90" t="str">
        <x:v>P0</x:v>
      </x:c>
    </x:row>
    <x:row r="91" ht="24" customHeight="1">
      <x:c r="A91" t="str">
        <x:v>BV-047</x:v>
      </x:c>
      <x:c r="B91" t="str">
        <x:v>BV-048</x:v>
      </x:c>
      <x:c r="C91" s="8" t="str">
        <x:v>Test rollback, disaster recovery and SLO alerting</x:v>
      </x:c>
      <x:c r="D91" t="str">
        <x:v>P8</x:v>
      </x:c>
      <x:c r="E91" t="str">
        <x:v>P0</x:v>
      </x:c>
    </x:row>
    <x:row r="92" ht="24" customHeight="1">
      <x:c r="A92" t="str">
        <x:v>BV-041</x:v>
      </x:c>
      <x:c r="B92" t="str">
        <x:v>BV-049</x:v>
      </x:c>
      <x:c r="C92" s="8" t="str">
        <x:v>Complete localization, RTL and accessibility audit</x:v>
      </x:c>
      <x:c r="D92" t="str">
        <x:v>P8</x:v>
      </x:c>
      <x:c r="E92" t="str">
        <x:v>P0</x:v>
      </x:c>
    </x:row>
    <x:row r="93" ht="24" customHeight="1">
      <x:c r="A93" t="str">
        <x:v>BV-043</x:v>
      </x:c>
      <x:c r="B93" t="str">
        <x:v>BV-049</x:v>
      </x:c>
      <x:c r="C93" s="8" t="str">
        <x:v>Complete localization, RTL and accessibility audit</x:v>
      </x:c>
      <x:c r="D93" t="str">
        <x:v>P8</x:v>
      </x:c>
      <x:c r="E93" t="str">
        <x:v>P0</x:v>
      </x:c>
    </x:row>
    <x:row r="94" ht="24" customHeight="1">
      <x:c r="A94" t="str">
        <x:v>BV-047</x:v>
      </x:c>
      <x:c r="B94" t="str">
        <x:v>BV-050</x:v>
      </x:c>
      <x:c r="C94" s="8" t="str">
        <x:v>Approve jurisdiction, product claims and clinical disclaimers</x:v>
      </x:c>
      <x:c r="D94" t="str">
        <x:v>P8</x:v>
      </x:c>
      <x:c r="E94" t="str">
        <x:v>P0</x:v>
      </x:c>
    </x:row>
    <x:row r="95" ht="24" customHeight="1">
      <x:c r="A95" t="str">
        <x:v>BV-049</x:v>
      </x:c>
      <x:c r="B95" t="str">
        <x:v>BV-050</x:v>
      </x:c>
      <x:c r="C95" s="8" t="str">
        <x:v>Approve jurisdiction, product claims and clinical disclaimers</x:v>
      </x:c>
      <x:c r="D95" t="str">
        <x:v>P8</x:v>
      </x:c>
      <x:c r="E95" t="str">
        <x:v>P0</x:v>
      </x:c>
    </x:row>
    <x:row r="96" ht="24" customHeight="1">
      <x:c r="A96" t="str">
        <x:v>BV-048</x:v>
      </x:c>
      <x:c r="B96" t="str">
        <x:v>BV-051</x:v>
      </x:c>
      <x:c r="C96" s="8" t="str">
        <x:v>Controlled rollout with feature flags and kill switches</x:v>
      </x:c>
      <x:c r="D96" t="str">
        <x:v>P8</x:v>
      </x:c>
      <x:c r="E96" t="str">
        <x:v>P0</x:v>
      </x:c>
    </x:row>
    <x:row r="97" ht="24" customHeight="1">
      <x:c r="A97" t="str">
        <x:v>BV-050</x:v>
      </x:c>
      <x:c r="B97" t="str">
        <x:v>BV-051</x:v>
      </x:c>
      <x:c r="C97" s="8" t="str">
        <x:v>Controlled rollout with feature flags and kill switches</x:v>
      </x:c>
      <x:c r="D97" t="str">
        <x:v>P8</x:v>
      </x:c>
      <x:c r="E97" t="str">
        <x:v>P0</x:v>
      </x:c>
    </x:row>
  </x:sheetData>
  <x:pageMargins left="0.7" right="0.7" top="0.75" bottom="0.75" header="0.3" footer="0.3"/>
  <x:tableParts count="1">
    <x:tablePart xmlns:r="http://schemas.openxmlformats.org/officeDocument/2006/relationships" r:id="R2a2b14bf2c7242c1"/>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29" hidden="0" customWidth="1"/>
    <x:col min="3" max="3" width="16" hidden="0" customWidth="1"/>
    <x:col min="4" max="4" width="25" hidden="0" customWidth="1"/>
    <x:col min="5" max="5" width="38" hidden="0" customWidth="1"/>
    <x:col min="6" max="6" width="66" hidden="0" customWidth="1"/>
  </x:cols>
  <x:sheetData>
    <x:row r="1" ht="28" customHeight="1">
      <x:c r="A1" s="43" t="str">
        <x:v>BioFlow UI migration</x:v>
      </x:c>
      <x:c r="B1" s="41"/>
      <x:c r="C1" s="41"/>
      <x:c r="D1" s="41"/>
      <x:c r="E1" s="41"/>
      <x:c r="F1" s="41"/>
    </x:row>
    <x:row r="2">
      <x:c r="A2" s="41" t="str">
        <x:v>Engineering progress. The original 51 task records and formal review statuses are retained.</x:v>
      </x:c>
      <x:c r="B2" s="41"/>
      <x:c r="C2" s="41"/>
      <x:c r="D2" s="41"/>
      <x:c r="E2" s="41"/>
      <x:c r="F2" s="41"/>
    </x:row>
    <x:row r="3">
      <x:c r="A3" s="41"/>
      <x:c r="B3" s="41"/>
      <x:c r="C3" s="41"/>
      <x:c r="D3" s="41"/>
      <x:c r="E3" s="41"/>
      <x:c r="F3" s="41"/>
    </x:row>
    <x:row r="4" ht="30" customHeight="1">
      <x:c r="A4" s="47" t="str">
        <x:v>ID</x:v>
      </x:c>
      <x:c r="B4" s="47" t="str">
        <x:v>Workstream</x:v>
      </x:c>
      <x:c r="C4" s="47" t="str">
        <x:v>Status</x:v>
      </x:c>
      <x:c r="D4" s="47" t="str">
        <x:v>Related Tasks</x:v>
      </x:c>
      <x:c r="E4" s="47" t="str">
        <x:v>Evidence</x:v>
      </x:c>
      <x:c r="F4" s="47" t="str">
        <x:v>Notes</x:v>
      </x:c>
    </x:row>
    <x:row r="5" ht="70" customHeight="1">
      <x:c r="A5" s="49" t="str">
        <x:v>BF-001</x:v>
      </x:c>
      <x:c r="B5" s="49" t="str">
        <x:v>Inventory and design system</x:v>
      </x:c>
      <x:c r="C5" s="49" t="str">
        <x:v>Done</x:v>
      </x:c>
      <x:c r="D5" s="49" t="str">
        <x:v>BV-001; BV-012</x:v>
      </x:c>
      <x:c r="E5" s="49" t="str">
        <x:v>documentation/design-system/VALIDATION-REPORT.md</x:v>
      </x:c>
      <x:c r="F5" s="49" t="str">
        <x:v>Inventory covers 111 discovered surfaces; shared tokens, licensed local fonts, primitives and drift guards implemented. Validation is recorded separately.</x:v>
      </x:c>
    </x:row>
    <x:row r="6" ht="70" customHeight="1">
      <x:c r="A6" s="49" t="str">
        <x:v>BF-002</x:v>
      </x:c>
      <x:c r="B6" s="49" t="str">
        <x:v>Web shell and dashboard</x:v>
      </x:c>
      <x:c r="C6" s="49" t="str">
        <x:v>Done</x:v>
      </x:c>
      <x:c r="D6" s="49" t="str">
        <x:v>BV-012; BV-019; BV-020</x:v>
      </x:c>
      <x:c r="E6" s="49" t="str">
        <x:v>documentation/design-system/VALIDATION-REPORT.md</x:v>
      </x:c>
      <x:c r="F6" s="49" t="str">
        <x:v>Expanded web shell, actual evidence dashboard, neutral body, authorized search, filters and provenance implemented. Chromium and WebKit audits passed.</x:v>
      </x:c>
    </x:row>
    <x:row r="7" ht="70" customHeight="1">
      <x:c r="A7" s="49" t="str">
        <x:v>BF-003</x:v>
      </x:c>
      <x:c r="B7" s="49" t="str">
        <x:v>Reports and health evidence</x:v>
      </x:c>
      <x:c r="C7" s="49" t="str">
        <x:v>Done</x:v>
      </x:c>
      <x:c r="D7" s="49" t="str">
        <x:v>BV-014–BV-023</x:v>
      </x:c>
      <x:c r="E7" s="49" t="str">
        <x:v>documentation/design-system/VALIDATION-REPORT.md</x:v>
      </x:c>
      <x:c r="F7" s="49" t="str">
        <x:v>Real scanner/OCR production journey passed upload, identity, verify, append correction, compare and source. Rare UI branches remain explicit in coverage.</x:v>
      </x:c>
    </x:row>
    <x:row r="8" ht="70" customHeight="1">
      <x:c r="A8" s="49" t="str">
        <x:v>BF-004</x:v>
      </x:c>
      <x:c r="B8" s="49" t="str">
        <x:v>Android migration</x:v>
      </x:c>
      <x:c r="C8" s="49" t="str">
        <x:v>In Review</x:v>
      </x:c>
      <x:c r="D8" s="49" t="str">
        <x:v>BV-012; BV-014–BV-028</x:v>
      </x:c>
      <x:c r="E8" s="49" t="str">
        <x:v>documentation/design-system/VALIDATION-REPORT.md</x:v>
      </x:c>
      <x:c r="F8" s="49" t="str">
        <x:v>APK/export, full emulator report/chat, comparison, caregiver revocation, focused routes and 150% text passed. TalkBack service smoke passed; manual/device acceptance remains pending.</x:v>
      </x:c>
    </x:row>
    <x:row r="9" ht="70" customHeight="1">
      <x:c r="A9" s="49" t="str">
        <x:v>BF-005</x:v>
      </x:c>
      <x:c r="B9" s="49" t="str">
        <x:v>AI, profiles and supporting UI</x:v>
      </x:c>
      <x:c r="C9" s="49" t="str">
        <x:v>Done</x:v>
      </x:c>
      <x:c r="D9" s="49" t="str">
        <x:v>BV-009; BV-024–BV-028</x:v>
      </x:c>
      <x:c r="E9" s="49" t="str">
        <x:v>documentation/design-system/VALIDATION-REPORT.md</x:v>
      </x:c>
      <x:c r="F9" s="49" t="str">
        <x:v>Auth/recovery, family/contact controls, consent/chat and honest unavailable/paused states migrated. Live AI presentation still requires configured provider.</x:v>
      </x:c>
    </x:row>
    <x:row r="10" ht="70" customHeight="1">
      <x:c r="A10" s="49" t="str">
        <x:v>BF-006</x:v>
      </x:c>
      <x:c r="B10" s="49" t="str">
        <x:v>Regression and design QA</x:v>
      </x:c>
      <x:c r="C10" s="49" t="str">
        <x:v>In Progress</x:v>
      </x:c>
      <x:c r="D10" s="49" t="str">
        <x:v>BV-029–BV-031</x:v>
      </x:c>
      <x:c r="E10" s="49" t="str">
        <x:v>documentation/design-system/VALIDATION-REPORT.md</x:v>
      </x:c>
      <x:c r="F10" s="49" t="str">
        <x:v>51 core and 59 DB tests pass; production Chromium and WebKit gates pass. Firefox runtime, manual screen-reader/native RTL and physical-device validation remain pending.</x:v>
      </x:c>
    </x:row>
    <x:row r="11" ht="70" customHeight="1">
      <x:c r="A11" s="49" t="str">
        <x:v>BF-007</x:v>
      </x:c>
      <x:c r="B11" s="49" t="str">
        <x:v>Coverage and governance</x:v>
      </x:c>
      <x:c r="C11" s="49" t="str">
        <x:v>Done</x:v>
      </x:c>
      <x:c r="D11" s="49" t="str">
        <x:v>BV-001; BV-012; BV-031</x:v>
      </x:c>
      <x:c r="E11" s="49" t="str">
        <x:v>documentation/design-system/VALIDATION-REPORT.md</x:v>
      </x:c>
      <x:c r="F11" s="49" t="str">
        <x:v>All surfaces source-reviewed and accounted; coverage dimensions and limitations retained. Original 51 tasks, decisions, workbook sheets and formal review statuses preserved.</x:v>
      </x:c>
    </x:row>
    <x:row r="12">
      <x:c r="A12" s="41"/>
      <x:c r="B12" s="41"/>
      <x:c r="C12" s="41"/>
      <x:c r="D12" s="41"/>
      <x:c r="E12" s="41"/>
      <x:c r="F12" s="41"/>
    </x:row>
    <x:row r="13">
      <x:c r="A13" s="50" t="str">
        <x:v>Source: Owner-approved BioFlow plan and recorded implementation evidence, 21 October 2026.</x:v>
      </x:c>
      <x:c r="B13" s="41"/>
      <x:c r="C13" s="41"/>
      <x:c r="D13" s="41"/>
      <x:c r="E13" s="41"/>
      <x:c r="F13" s="41"/>
    </x:row>
    <x:row r="14">
      <x:c r="A14" s="50" t="str">
        <x:v>Checkpoint: https://github.com/FutureTechStudio/BioVitAI/commit/ced0d80bfe70d81258acadf63eca85b06fb2a9ba</x:v>
      </x:c>
      <x:c r="B14" s="41"/>
      <x:c r="C14" s="41"/>
      <x:c r="D14" s="41"/>
      <x:c r="E14" s="41"/>
      <x:c r="F14" s="41"/>
    </x:row>
  </x:sheetData>
  <x:dataValidations count="1">
    <x:dataValidation type="list" sqref="C5:C11">
      <x:formula1>"Backlog,Ready,In Progress,In Review,Done,Blocked"</x:formula1>
    </x:dataValidation>
  </x:dataValidations>
  <x:pageMargins left="0.7" right="0.7" top="0.75" bottom="0.75" header="0.3" footer="0.3"/>
</x:worksheet>
</file>