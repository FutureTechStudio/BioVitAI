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28686853e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8517a5f99224fb4"/>
    <x:sheet xmlns:r="http://schemas.openxmlformats.org/officeDocument/2006/relationships" name="Tasks" sheetId="2" r:id="Rb7f9c3a38adc4301"/>
    <x:sheet xmlns:r="http://schemas.openxmlformats.org/officeDocument/2006/relationships" name="Phases" sheetId="3" r:id="Rcda0a26ef1584be5"/>
    <x:sheet xmlns:r="http://schemas.openxmlformats.org/officeDocument/2006/relationships" name="Decisions" sheetId="4" r:id="R0660cbe772e343e9"/>
    <x:sheet xmlns:r="http://schemas.openxmlformats.org/officeDocument/2006/relationships" name="Dependencies" sheetId="5" r:id="Red16bca7ea404f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3243A"/>
      <x:name val="Carlito"/>
    </x:font>
    <x:font>
      <x:b/>
      <x:sz val="10"/>
      <x:color rgb="FF13243A"/>
      <x:name val="Carlito"/>
    </x:font>
    <x:font>
      <x:b/>
      <x:sz val="23"/>
      <x:color rgb="FF117E78"/>
      <x:name val="Carlito"/>
    </x:font>
    <x:font>
      <x:b/>
      <x:sz val="11"/>
      <x:color rgb="FF1324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243A"/>
      </x:patternFill>
    </x:fill>
    <x:fill>
      <x:patternFill patternType="solid">
        <x:fgColor rgb="FFE8F4F5"/>
      </x:patternFill>
    </x:fill>
    <x:fill>
      <x:patternFill patternType="solid">
        <x:fgColor rgb="FFD9E9ED"/>
      </x:patternFill>
    </x:fill>
    <x:fill>
      <x:patternFill patternType="solid">
        <x:fgColor rgb="FFF6FAFB"/>
      </x:patternFill>
    </x:fill>
    <x:fill>
      <x:patternFill patternType="solid">
        <x:fgColor rgb="FFDBEAF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>
          <x:bgColor rgb="FFD6F3E2"/>
        </x:patternFill>
      </x:fill>
    </x:dxf>
    <x:dxf>
      <x:font>
        <x:color rgb="FFA11919"/>
      </x:font>
      <x:fill>
        <x:patternFill>
          <x:bgColor rgb="FFFCE3E3"/>
        </x:patternFill>
      </x:fill>
    </x:dxf>
    <x:dxf>
      <x:font>
        <x:color rgb="FF92400E"/>
      </x:font>
      <x:fill>
        <x:patternFill>
          <x:bgColor rgb="FFFDE8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cd4c7c6524ce5" /><Relationship Type="http://schemas.openxmlformats.org/officeDocument/2006/relationships/theme" Target="/xl/theme/theme1.xml" Id="Reeb3d92076cf420c" /><Relationship Type="http://schemas.openxmlformats.org/officeDocument/2006/relationships/sharedStrings" Target="/xl/sharedStrings.xml" Id="R277473921b414c63" /><Relationship Type="http://schemas.openxmlformats.org/officeDocument/2006/relationships/worksheet" Target="/xl/worksheets/sheet1.xml" Id="Ra8517a5f99224fb4" /><Relationship Type="http://schemas.openxmlformats.org/officeDocument/2006/relationships/worksheet" Target="/xl/worksheets/sheet2.xml" Id="Rb7f9c3a38adc4301" /><Relationship Type="http://schemas.openxmlformats.org/officeDocument/2006/relationships/worksheet" Target="/xl/worksheets/sheet3.xml" Id="Rcda0a26ef1584be5" /><Relationship Type="http://schemas.openxmlformats.org/officeDocument/2006/relationships/worksheet" Target="/xl/worksheets/sheet4.xml" Id="R0660cbe772e343e9" /><Relationship Type="http://schemas.openxmlformats.org/officeDocument/2006/relationships/worksheet" Target="/xl/worksheets/sheet5.xml" Id="Red16bca7ea404f17" /></Relationships>
</file>

<file path=xl/tables/table1.xml><?xml version="1.0" encoding="utf-8"?>
<x:table xmlns:x="http://schemas.openxmlformats.org/spreadsheetml/2006/main" id="1" name="BiovitTasks" displayName="BiovitTasks" ref="A1:O52" headerRowCount="1" totalsRowCount="0" totalsRowShown="0">
  <x:tableColumns count="15">
    <x:tableColumn id="1" name="ID"/>
    <x:tableColumn id="2" name="Phase"/>
    <x:tableColumn id="3" name="Workstream"/>
    <x:tableColumn id="4" name="Task"/>
    <x:tableColumn id="5" name="Owner Role"/>
    <x:tableColumn id="6" name="Priority"/>
    <x:tableColumn id="7" name="Estimate (days)"/>
    <x:tableColumn id="8" name="Dependencies"/>
    <x:tableColumn id="9" name="Status"/>
    <x:tableColumn id="10" name="Acceptance Criteria"/>
    <x:tableColumn id="11" name="Deliverable"/>
    <x:tableColumn id="12" name="Release Gate"/>
    <x:tableColumn id="13" name="Risk"/>
    <x:tableColumn id="14" name="Description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ovitPhases" displayName="BiovitPhases" ref="A1:K10" headerRowCount="1" totalsRowCount="0" totalsRowShown="0">
  <x:tableColumns count="11">
    <x:tableColumn id="1" name="Phase"/>
    <x:tableColumn id="2" name="Name"/>
    <x:tableColumn id="3" name="Start Week"/>
    <x:tableColumn id="4" name="End Week"/>
    <x:tableColumn id="5" name="Duration (weeks)"/>
    <x:tableColumn id="6" name="Scope"/>
    <x:tableColumn id="7" name="Task Count"/>
    <x:tableColumn id="8" name="Critical P0"/>
    <x:tableColumn id="9" name="Gate"/>
    <x:tableColumn id="10" name="Status"/>
    <x:tableColumn id="11" name="Completion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ovitDecisions" displayName="BiovitDecisions" ref="A1:F11" headerRowCount="1" totalsRowCount="0" totalsRowShown="0">
  <x:tableColumns count="6">
    <x:tableColumn id="1" name="ID"/>
    <x:tableColumn id="2" name="Decision"/>
    <x:tableColumn id="3" name="Owner Role"/>
    <x:tableColumn id="4" name="Due Gate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iovitDependencies" displayName="BiovitDependencies" ref="A1:E97" headerRowCount="1" totalsRowCount="0" totalsRowShown="0">
  <x:tableColumns count="5">
    <x:tableColumn id="1" name="Prerequisite Task"/>
    <x:tableColumn id="2" name="Blocked Task"/>
    <x:tableColumn id="3" name="Downstream Work"/>
    <x:tableColumn id="4" name="Phase"/>
    <x:tableColumn id="5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d76fead2f743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6a3162cb9246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924a66c55b42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73ce1aa820425a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3" hidden="0" customWidth="1"/>
    <x:col min="8" max="8" width="15" hidden="0" customWidth="1"/>
  </x:cols>
  <x:sheetData>
    <x:row r="1" ht="36" customHeight="1">
      <x:c r="A1" s="16" t="str">
        <x:v>BIOVITAI  |  V2.1 DELIVERY CONTROL</x:v>
      </x:c>
      <x:c r="B1" s="16"/>
      <x:c r="C1" s="16"/>
      <x:c r="D1" s="16"/>
      <x:c r="E1" s="16"/>
      <x:c r="F1" s="16"/>
      <x:c r="G1" s="16"/>
      <x:c r="H1" s="16"/>
    </x:row>
    <x:row r="2" ht="29" customHeight="1">
      <x:c r="A2" s="19" t="str">
        <x:v>3 tabs • Modular monolith • AI Gateway • Evidence first • Phase gates</x:v>
      </x:c>
      <x:c r="B2" s="19"/>
      <x:c r="C2" s="19"/>
      <x:c r="D2" s="19"/>
      <x:c r="E2" s="19"/>
      <x:c r="F2" s="19"/>
      <x:c r="G2" s="19"/>
      <x:c r="H2" s="19"/>
    </x:row>
    <x:row r="4" ht="27" customHeight="1">
      <x:c r="A4" s="24" t="str">
        <x:v>TOTAL TASKS</x:v>
      </x:c>
      <x:c r="B4" s="24"/>
      <x:c r="C4" s="24" t="str">
        <x:v>DONE</x:v>
      </x:c>
      <x:c r="D4" s="24"/>
      <x:c r="E4" s="24" t="str">
        <x:v>IN PROGRESS</x:v>
      </x:c>
      <x:c r="F4" s="24"/>
      <x:c r="G4" s="24" t="str">
        <x:v>BLOCKED</x:v>
      </x:c>
      <x:c r="H4" s="24"/>
    </x:row>
    <x:row r="5" ht="27" customHeight="1">
      <x:c r="A5" s="31" t="n">
        <x:f>COUNTA(Tasks!A2:A52)</x:f>
        <x:v>51</x:v>
      </x:c>
      <x:c r="B5" s="31"/>
      <x:c r="C5" s="31" t="n">
        <x:f>COUNTIF(Tasks!I2:I52,"Done")</x:f>
        <x:v>0</x:v>
      </x:c>
      <x:c r="D5" s="31"/>
      <x:c r="E5" s="31" t="n">
        <x:f>COUNTIF(Tasks!I2:I52,"In Progress")</x:f>
        <x:v>0</x:v>
      </x:c>
      <x:c r="F5" s="31"/>
      <x:c r="G5" s="31" t="n">
        <x:f>COUNTIF(Tasks!I2:I52,"Blocked")</x:f>
        <x:v>6</x:v>
      </x:c>
      <x:c r="H5" s="31"/>
    </x:row>
    <x:row r="6" ht="27" customHeight="1">
      <x:c r="A6" s="31"/>
      <x:c r="B6" s="31"/>
      <x:c r="C6" s="31"/>
      <x:c r="D6" s="31"/>
      <x:c r="E6" s="31"/>
      <x:c r="F6" s="31"/>
      <x:c r="G6" s="31"/>
      <x:c r="H6" s="31"/>
    </x:row>
    <x:row r="8" ht="28" customHeight="1">
      <x:c r="A8" s="3" t="str">
        <x:v>ROADMAP PROGRESS BY PHASE</x:v>
      </x:c>
      <x:c r="B8" s="3"/>
      <x:c r="C8" s="3"/>
      <x:c r="D8" s="3"/>
      <x:c r="E8" s="3"/>
      <x:c r="F8" s="3"/>
      <x:c r="G8" s="3"/>
      <x:c r="H8" s="3"/>
    </x:row>
    <x:row r="9">
      <x:c r="A9" s="37" t="str">
        <x:v>Phase</x:v>
      </x:c>
      <x:c r="B9" s="37" t="str">
        <x:v>Weeks</x:v>
      </x:c>
      <x:c r="C9" s="37" t="str">
        <x:v>Tasks</x:v>
      </x:c>
      <x:c r="D9" s="37" t="str">
        <x:v>Completion</x:v>
      </x:c>
      <x:c r="F9" s="37" t="str">
        <x:v>MILESTONE GATES</x:v>
      </x:c>
      <x:c r="G9" s="37"/>
      <x:c r="H9" s="37"/>
    </x:row>
    <x:row r="10">
      <x:c r="A10" t="str">
        <x:v>P0</x:v>
      </x:c>
      <x:c r="B10" t="str">
        <x:v>1–2</x:v>
      </x:c>
      <x:c r="C10" t="n">
        <x:f>COUNTIF(Tasks!B2:B52,A10)</x:f>
        <x:v>7</x:v>
      </x:c>
      <x:c r="D10" s="14" t="n">
        <x:f>IFERROR(COUNTIFS(Tasks!B2:B52,A10,Tasks!I2:I52,"Done")/C10,0)</x:f>
        <x:v>0</x:v>
      </x:c>
      <x:c r="F10" t="str">
        <x:v>M1</x:v>
      </x:c>
      <x:c r="G10" t="str">
        <x:v>P1 Secure profiles</x:v>
      </x:c>
    </x:row>
    <x:row r="11">
      <x:c r="A11" t="str">
        <x:v>P1</x:v>
      </x:c>
      <x:c r="B11" t="str">
        <x:v>3–5</x:v>
      </x:c>
      <x:c r="C11" t="n">
        <x:f>COUNTIF(Tasks!B2:B52,A11)</x:f>
        <x:v>6</x:v>
      </x:c>
      <x:c r="D11" s="14" t="n">
        <x:f>IFERROR(COUNTIFS(Tasks!B2:B52,A11,Tasks!I2:I52,"Done")/C11,0)</x:f>
        <x:v>0</x:v>
      </x:c>
      <x:c r="F11" t="str">
        <x:v>M2</x:v>
      </x:c>
      <x:c r="G11" t="str">
        <x:v>P3 Health v2</x:v>
      </x:c>
    </x:row>
    <x:row r="12">
      <x:c r="A12" t="str">
        <x:v>P2</x:v>
      </x:c>
      <x:c r="B12" t="str">
        <x:v>6–9</x:v>
      </x:c>
      <x:c r="C12" t="n">
        <x:f>COUNTIF(Tasks!B2:B52,A12)</x:f>
        <x:v>5</x:v>
      </x:c>
      <x:c r="D12" s="14" t="n">
        <x:f>IFERROR(COUNTIFS(Tasks!B2:B52,A12,Tasks!I2:I52,"Done")/C12,0)</x:f>
        <x:v>0</x:v>
      </x:c>
      <x:c r="F12" t="str">
        <x:v>M3</x:v>
      </x:c>
      <x:c r="G12" t="str">
        <x:v>P5 Private pilot</x:v>
      </x:c>
    </x:row>
    <x:row r="13">
      <x:c r="A13" t="str">
        <x:v>P3</x:v>
      </x:c>
      <x:c r="B13" t="str">
        <x:v>10–13</x:v>
      </x:c>
      <x:c r="C13" t="n">
        <x:f>COUNTIF(Tasks!B2:B52,A13)</x:f>
        <x:v>5</x:v>
      </x:c>
      <x:c r="D13" s="14" t="n">
        <x:f>IFERROR(COUNTIFS(Tasks!B2:B52,A13,Tasks!I2:I52,"Done")/C13,0)</x:f>
        <x:v>0</x:v>
      </x:c>
      <x:c r="F13" t="str">
        <x:v>M4</x:v>
      </x:c>
      <x:c r="G13" t="str">
        <x:v>P6 Wellness MVP</x:v>
      </x:c>
    </x:row>
    <x:row r="14">
      <x:c r="A14" t="str">
        <x:v>P4</x:v>
      </x:c>
      <x:c r="B14" t="str">
        <x:v>14–17</x:v>
      </x:c>
      <x:c r="C14" t="n">
        <x:f>COUNTIF(Tasks!B2:B52,A14)</x:f>
        <x:v>5</x:v>
      </x:c>
      <x:c r="D14" s="14" t="n">
        <x:f>IFERROR(COUNTIFS(Tasks!B2:B52,A14,Tasks!I2:I52,"Done")/C14,0)</x:f>
        <x:v>0</x:v>
      </x:c>
      <x:c r="F14" t="str">
        <x:v>M5</x:v>
      </x:c>
      <x:c r="G14" t="str">
        <x:v>P7 Read-only Community</x:v>
      </x:c>
    </x:row>
    <x:row r="15">
      <x:c r="A15" t="str">
        <x:v>P5</x:v>
      </x:c>
      <x:c r="B15" t="str">
        <x:v>18–20</x:v>
      </x:c>
      <x:c r="C15" t="n">
        <x:f>COUNTIF(Tasks!B2:B52,A15)</x:f>
        <x:v>4</x:v>
      </x:c>
      <x:c r="D15" s="14" t="n">
        <x:f>IFERROR(COUNTIFS(Tasks!B2:B52,A15,Tasks!I2:I52,"Done")/C15,0)</x:f>
        <x:v>0</x:v>
      </x:c>
      <x:c r="F15" t="str">
        <x:v>M6</x:v>
      </x:c>
      <x:c r="G15" t="str">
        <x:v>P8 Production rollout</x:v>
      </x:c>
    </x:row>
    <x:row r="16">
      <x:c r="A16" t="str">
        <x:v>P6</x:v>
      </x:c>
      <x:c r="B16" t="str">
        <x:v>21–24</x:v>
      </x:c>
      <x:c r="C16" t="n">
        <x:f>COUNTIF(Tasks!B2:B52,A16)</x:f>
        <x:v>9</x:v>
      </x:c>
      <x:c r="D16" s="14" t="n">
        <x:f>IFERROR(COUNTIFS(Tasks!B2:B52,A16,Tasks!I2:I52,"Done")/C16,0)</x:f>
        <x:v>0</x:v>
      </x:c>
    </x:row>
    <x:row r="17">
      <x:c r="A17" t="str">
        <x:v>P7</x:v>
      </x:c>
      <x:c r="B17" t="str">
        <x:v>25–28</x:v>
      </x:c>
      <x:c r="C17" t="n">
        <x:f>COUNTIF(Tasks!B2:B52,A17)</x:f>
        <x:v>5</x:v>
      </x:c>
      <x:c r="D17" s="14" t="n">
        <x:f>IFERROR(COUNTIFS(Tasks!B2:B52,A17,Tasks!I2:I52,"Done")/C17,0)</x:f>
        <x:v>0</x:v>
      </x:c>
    </x:row>
    <x:row r="18">
      <x:c r="A18" t="str">
        <x:v>P8</x:v>
      </x:c>
      <x:c r="B18" t="str">
        <x:v>29–31</x:v>
      </x:c>
      <x:c r="C18" t="n">
        <x:f>COUNTIF(Tasks!B2:B52,A18)</x:f>
        <x:v>5</x:v>
      </x:c>
      <x:c r="D18" s="14" t="n">
        <x:f>IFERROR(COUNTIFS(Tasks!B2:B52,A18,Tasks!I2:I52,"Done")/C18,0)</x:f>
        <x:v>0</x:v>
      </x:c>
    </x:row>
    <x:row r="20" ht="28" customHeight="1">
      <x:c r="A20" s="3" t="str">
        <x:v>IMPORTANT DELIVERY ASSUMPTIONS</x:v>
      </x:c>
      <x:c r="B20" s="3"/>
      <x:c r="C20" s="3"/>
      <x:c r="D20" s="3"/>
      <x:c r="E20" s="3"/>
      <x:c r="F20" s="3"/>
      <x:c r="G20" s="3"/>
      <x:c r="H20" s="3"/>
    </x:row>
    <x:row r="22" ht="26" customHeight="1">
      <x:c r="A22" t="str">
        <x:v>• 31-week phasing is indicative only; no dates or individuals have been committed.</x:v>
      </x:c>
    </x:row>
    <x:row r="23" ht="26" customHeight="1">
      <x:c r="A23" t="str">
        <x:v>• Tab 1 Health V2 remains intact; Tab 2 Wellness is the core new product; Tab 3 Community is gated.</x:v>
      </x:c>
    </x:row>
    <x:row r="24" ht="26" customHeight="1">
      <x:c r="A24" t="str">
        <x:v>• Agents use typed domain-service tools. AI Gateway alone calls external model providers.</x:v>
      </x:c>
    </x:row>
    <x:row r="25" ht="26" customHeight="1">
      <x:c r="A25" t="str">
        <x:v>• Clinical rules, eligibility decisions, consent and data lineage are deterministic and reviewed.</x:v>
      </x:c>
    </x:row>
    <x:row r="26" ht="26" customHeight="1">
      <x:c r="A26" t="str">
        <x:v>• All 51 tasks begin Backlog. Changing Status in Tasks updates this dashboard.</x:v>
      </x:c>
    </x:row>
    <x:row r="27" ht="26" customHeight="1">
      <x:c r="A27" t="str">
        <x:v>• The original v2 Markdown files were not present for direct merge; review additive docs 44–59.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20:H20"/>
    <x:mergeCell ref="A22:H22"/>
    <x:mergeCell ref="A23:H23"/>
    <x:mergeCell ref="A24:H24"/>
    <x:mergeCell ref="A25:H25"/>
    <x:mergeCell ref="A26:H26"/>
    <x:mergeCell ref="A27:H27"/>
    <x:mergeCell ref="F9:H9"/>
    <x:mergeCell ref="G10:H10"/>
    <x:mergeCell ref="G11:H11"/>
    <x:mergeCell ref="G12:H12"/>
    <x:mergeCell ref="G13:H13"/>
    <x:mergeCell ref="G14:H14"/>
    <x:mergeCell ref="G15:H15"/>
  </x:mergeCells>
  <x:conditionalFormatting sqref="D10:D18">
    <x:cfRule type="dataBar" priority="1">
      <x:dataBar>
        <x:cfvo type="min"/>
        <x:cfvo type="max"/>
        <x:color rgb="FF16A5A0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6A5A0"/>
            </x14:dataBar>
          </x14:cfRule>
          <xm:sqref>D10:D18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42" hidden="0" customWidth="1"/>
    <x:col min="5" max="5" width="19" hidden="0" customWidth="1"/>
    <x:col min="6" max="6" width="11" hidden="0" customWidth="1"/>
    <x:col min="7" max="7" width="16" hidden="0" customWidth="1"/>
    <x:col min="8" max="8" width="26" hidden="0" customWidth="1"/>
    <x:col min="9" max="9" width="16" hidden="0" customWidth="1"/>
    <x:col min="10" max="10" width="57" hidden="0" customWidth="1"/>
    <x:col min="11" max="11" width="27" hidden="0" customWidth="1"/>
    <x:col min="12" max="12" width="13" hidden="0" customWidth="1"/>
    <x:col min="13" max="13" width="12" hidden="0" customWidth="1"/>
    <x:col min="14" max="14" width="53" hidden="0" customWidth="1"/>
    <x:col min="15" max="15" width="75" hidden="0" customWidth="1"/>
  </x:cols>
  <x:sheetData>
    <x:row r="1" ht="30" customHeight="1">
      <x:c r="A1" s="4" t="str">
        <x:v>ID</x:v>
      </x:c>
      <x:c r="B1" s="4" t="str">
        <x:v>Phase</x:v>
      </x:c>
      <x:c r="C1" s="4" t="str">
        <x:v>Workstream</x:v>
      </x:c>
      <x:c r="D1" s="4" t="str">
        <x:v>Task</x:v>
      </x:c>
      <x:c r="E1" s="4" t="str">
        <x:v>Owner Role</x:v>
      </x:c>
      <x:c r="F1" s="4" t="str">
        <x:v>Priority</x:v>
      </x:c>
      <x:c r="G1" s="4" t="str">
        <x:v>Estimate (days)</x:v>
      </x:c>
      <x:c r="H1" s="4" t="str">
        <x:v>Dependencies</x:v>
      </x:c>
      <x:c r="I1" s="4" t="str">
        <x:v>Status</x:v>
      </x:c>
      <x:c r="J1" s="4" t="str">
        <x:v>Acceptance Criteria</x:v>
      </x:c>
      <x:c r="K1" s="4" t="str">
        <x:v>Deliverable</x:v>
      </x:c>
      <x:c r="L1" s="4" t="str">
        <x:v>Release Gate</x:v>
      </x:c>
      <x:c r="M1" s="4" t="str">
        <x:v>Risk</x:v>
      </x:c>
      <x:c r="N1" s="4" t="str">
        <x:v>Description</x:v>
      </x:c>
      <x:c r="O1" s="4" t="str">
        <x:v>Notes</x:v>
      </x:c>
    </x:row>
    <x:row r="2" ht="26.399999618530273" hidden="0" customHeight="1">
      <x:c r="A2" s="10" t="str">
        <x:v>BV-001</x:v>
      </x:c>
      <x:c r="B2" s="10" t="str">
        <x:v>P0</x:v>
      </x:c>
      <x:c r="C2" s="10" t="str">
        <x:v>Product</x:v>
      </x:c>
      <x:c r="D2" s="11" t="str">
        <x:v>Confirm 3-tab scope and navigation</x:v>
      </x:c>
      <x:c r="E2" s="11" t="str">
        <x:v>Product</x:v>
      </x:c>
      <x:c r="F2" s="11" t="str">
        <x:v>P0</x:v>
      </x:c>
      <x:c r="G2" s="10" t="n">
        <x:v>3</x:v>
      </x:c>
      <x:c r="H2" s="11" t="str"/>
      <x:c r="I2" s="11" t="str">
        <x:v>In Review</x:v>
      </x:c>
      <x:c r="J2" s="11" t="str">
        <x:v>Reviewed navigation spec and user journeys; Tab 3 posting out of MVP</x:v>
      </x:c>
      <x:c r="K2" s="11" t="str">
        <x:v>Signed UX scope</x:v>
      </x:c>
      <x:c r="L2" s="11" t="str">
        <x:v>P0</x:v>
      </x:c>
      <x:c r="M2" s="11" t="str">
        <x:v>Medium</x:v>
      </x:c>
      <x:c r="N2" s="11" t="str">
        <x:v>Freeze 3-tab boundaries and shared assistant behavior</x:v>
      </x:c>
      <x:c r="O2" s="11" t="str">
        <x:v>2026-10-20: Navigation and journeys prepared in docs/p0/REVIEW-PACKET.md; Product/UX signoff pending.</x:v>
      </x:c>
    </x:row>
    <x:row r="3" ht="26.399999618530273" hidden="0" customHeight="1">
      <x:c r="A3" s="10" t="str">
        <x:v>BV-002</x:v>
      </x:c>
      <x:c r="B3" s="10" t="str">
        <x:v>P0</x:v>
      </x:c>
      <x:c r="C3" s="10" t="str">
        <x:v>Architecture</x:v>
      </x:c>
      <x:c r="D3" s="11" t="str">
        <x:v>Approve modular-monolith ADR and repository topology</x:v>
      </x:c>
      <x:c r="E3" s="11" t="str">
        <x:v>Tech Lead</x:v>
      </x:c>
      <x:c r="F3" s="11" t="str">
        <x:v>P0</x:v>
      </x:c>
      <x:c r="G3" s="10" t="n">
        <x:v>3</x:v>
      </x:c>
      <x:c r="H3" s="11" t="str">
        <x:v>BV-001</x:v>
      </x:c>
      <x:c r="I3" s="11" t="str">
        <x:v>Blocked</x:v>
      </x:c>
      <x:c r="J3" s="11" t="str">
        <x:v>ADR accepted; automated module import boundary test planned</x:v>
      </x:c>
      <x:c r="K3" s="11" t="str">
        <x:v>ADR-001</x:v>
      </x:c>
      <x:c r="L3" s="11" t="str">
        <x:v>P0</x:v>
      </x:c>
      <x:c r="M3" s="11" t="str">
        <x:v>Medium</x:v>
      </x:c>
      <x:c r="N3" s="11" t="str">
        <x:v>Define layered modules and forbidden dependencies</x:v>
      </x:c>
      <x:c r="O3" s="11" t="str">
        <x:v>2026-10-20: BV-001 not approved. Proposed docs/adr/ADR-001-modular-monolith.md and executable import boundary checks prepared; Tech Lead acceptance and DEC-002 pending.</x:v>
      </x:c>
    </x:row>
    <x:row r="4" ht="26.399999618530273" hidden="0" customHeight="1">
      <x:c r="A4" s="10" t="str">
        <x:v>BV-003</x:v>
      </x:c>
      <x:c r="B4" s="10" t="str">
        <x:v>P0</x:v>
      </x:c>
      <x:c r="C4" s="10" t="str">
        <x:v>Privacy</x:v>
      </x:c>
      <x:c r="D4" s="11" t="str">
        <x:v>Complete profile and consent threat model</x:v>
      </x:c>
      <x:c r="E4" s="11" t="str">
        <x:v>Security/Privacy</x:v>
      </x:c>
      <x:c r="F4" s="11" t="str">
        <x:v>P0</x:v>
      </x:c>
      <x:c r="G4" s="10" t="n">
        <x:v>5</x:v>
      </x:c>
      <x:c r="H4" s="11" t="str">
        <x:v>BV-001</x:v>
      </x:c>
      <x:c r="I4" s="11" t="str">
        <x:v>Blocked</x:v>
      </x:c>
      <x:c r="J4" s="11" t="str">
        <x:v>Profile boundary matrix and data flow approved</x:v>
      </x:c>
      <x:c r="K4" s="11" t="str">
        <x:v>Threat model</x:v>
      </x:c>
      <x:c r="L4" s="11" t="str">
        <x:v>P0</x:v>
      </x:c>
      <x:c r="M4" s="11" t="str">
        <x:v>High</x:v>
      </x:c>
      <x:c r="N4" s="11" t="str">
        <x:v>Map identity, family sharing, data processing and tool contexts</x:v>
      </x:c>
      <x:c r="O4" s="11" t="str">
        <x:v>2026-10-20: BV-001 not approved. Draft docs/p0/THREAT-MODEL.md includes access matrix, flow, threats and residual decisions; Security/Privacy approval pending.</x:v>
      </x:c>
    </x:row>
    <x:row r="5" ht="26.399999618530273" hidden="0" customHeight="1">
      <x:c r="A5" s="10" t="str">
        <x:v>BV-004</x:v>
      </x:c>
      <x:c r="B5" s="10" t="str">
        <x:v>P0</x:v>
      </x:c>
      <x:c r="C5" s="10" t="str">
        <x:v>Clinical</x:v>
      </x:c>
      <x:c r="D5" s="11" t="str">
        <x:v>Appoint clinical/lab reviewer and define golden-set governance</x:v>
      </x:c>
      <x:c r="E5" s="11" t="str">
        <x:v>Product + Clinical</x:v>
      </x:c>
      <x:c r="F5" s="11" t="str">
        <x:v>P0</x:v>
      </x:c>
      <x:c r="G5" s="10" t="n">
        <x:v>3</x:v>
      </x:c>
      <x:c r="H5" s="11" t="str">
        <x:v>BV-001</x:v>
      </x:c>
      <x:c r="I5" s="11" t="str">
        <x:v>Blocked</x:v>
      </x:c>
      <x:c r="J5" s="11" t="str">
        <x:v>Named reviewer signoff path, escalation and evidence review method</x:v>
      </x:c>
      <x:c r="K5" s="11" t="str">
        <x:v>Clinical governance charter</x:v>
      </x:c>
      <x:c r="L5" s="11" t="str">
        <x:v>P0</x:v>
      </x:c>
      <x:c r="M5" s="11" t="str">
        <x:v>High</x:v>
      </x:c>
      <x:c r="N5" s="11" t="str">
        <x:v>Medical data and rule review owner</x:v>
      </x:c>
      <x:c r="O5" s="11" t="str">
        <x:v>2026-10-20: BV-001 not approved. Golden-set/review charter prepared in docs/p0/REVIEW-PACKET.md; named independent clinical reviewer and backup not appointed.</x:v>
      </x:c>
    </x:row>
    <x:row r="6" ht="39.599998474121094" hidden="0" customHeight="1">
      <x:c r="A6" s="10" t="str">
        <x:v>BV-005</x:v>
      </x:c>
      <x:c r="B6" s="10" t="str">
        <x:v>P0</x:v>
      </x:c>
      <x:c r="C6" s="10" t="str">
        <x:v>Platform</x:v>
      </x:c>
      <x:c r="D6" s="11" t="str">
        <x:v>Initialize monorepo, formatter, linting, test runner</x:v>
      </x:c>
      <x:c r="E6" s="11" t="str">
        <x:v>Platform</x:v>
      </x:c>
      <x:c r="F6" s="11" t="str">
        <x:v>P0</x:v>
      </x:c>
      <x:c r="G6" s="10" t="n">
        <x:v>4</x:v>
      </x:c>
      <x:c r="H6" s="11" t="str">
        <x:v>BV-002</x:v>
      </x:c>
      <x:c r="I6" s="11" t="str">
        <x:v>Blocked</x:v>
      </x:c>
      <x:c r="J6" s="11" t="str">
        <x:v>Fresh install builds; baseline automated checks pass</x:v>
      </x:c>
      <x:c r="K6" s="11" t="str">
        <x:v>Monorepo skeleton</x:v>
      </x:c>
      <x:c r="L6" s="11" t="str">
        <x:v>P0</x:v>
      </x:c>
      <x:c r="M6" s="11" t="str">
        <x:v>Medium</x:v>
      </x:c>
      <x:c r="N6" s="11" t="str">
        <x:v>Developer standards and reproducible environment</x:v>
      </x:c>
      <x:c r="O6" s="11" t="str">
        <x:v>2026-10-20: BV-002 not accepted. Preparatory local npm monorepo/tooling/contracts and CI definition pass 8 tests, lint, format, types and build. Fresh-install evidence in docs/p0/EXECUTION-REPORT.md. No PR/reviewer signoff; no dependency waiver.</x:v>
      </x:c>
    </x:row>
    <x:row r="7" ht="39.599998474121094" hidden="0" customHeight="1">
      <x:c r="A7" s="10" t="str">
        <x:v>BV-006</x:v>
      </x:c>
      <x:c r="B7" s="10" t="str">
        <x:v>P0</x:v>
      </x:c>
      <x:c r="C7" s="10" t="str">
        <x:v>AI</x:v>
      </x:c>
      <x:c r="D7" s="11" t="str">
        <x:v>Approve Gateway and agent service contracts</x:v>
      </x:c>
      <x:c r="E7" s="11" t="str">
        <x:v>AI Lead</x:v>
      </x:c>
      <x:c r="F7" s="11" t="str">
        <x:v>P0</x:v>
      </x:c>
      <x:c r="G7" s="10" t="n">
        <x:v>3</x:v>
      </x:c>
      <x:c r="H7" s="11" t="str">
        <x:v>BV-002, BV-003</x:v>
      </x:c>
      <x:c r="I7" s="11" t="str">
        <x:v>Blocked</x:v>
      </x:c>
      <x:c r="J7" s="11" t="str">
        <x:v>Gateway request/response type and provider abstraction reviewed</x:v>
      </x:c>
      <x:c r="K7" s="11" t="str">
        <x:v>ADR-002 / gateway interfaces</x:v>
      </x:c>
      <x:c r="L7" s="11" t="str">
        <x:v>P0</x:v>
      </x:c>
      <x:c r="M7" s="11" t="str">
        <x:v>Medium</x:v>
      </x:c>
      <x:c r="N7" s="11" t="str">
        <x:v>No direct LLM calls outside gateway</x:v>
      </x:c>
      <x:c r="O7" s="11" t="str">
        <x:v>2026-10-20: BV-002/BV-003 incomplete. Proposed docs/adr/ADR-002-ai-gateway.md and shared/contracts schemas/provider port prepared with negative contract tests; AI Lead/Security review pending; no Gateway implementation.</x:v>
      </x:c>
    </x:row>
    <x:row r="8" ht="26.399999618530273" hidden="0" customHeight="1">
      <x:c r="A8" s="10" t="str">
        <x:v>BV-007</x:v>
      </x:c>
      <x:c r="B8" s="10" t="str">
        <x:v>P0</x:v>
      </x:c>
      <x:c r="C8" s="10" t="str">
        <x:v>Product</x:v>
      </x:c>
      <x:c r="D8" s="11" t="str">
        <x:v>Decide target jurisdiction, hosting, languages and minors scope</x:v>
      </x:c>
      <x:c r="E8" s="11" t="str">
        <x:v>Product + Legal</x:v>
      </x:c>
      <x:c r="F8" s="11" t="str">
        <x:v>P0</x:v>
      </x:c>
      <x:c r="G8" s="10" t="n">
        <x:v>4</x:v>
      </x:c>
      <x:c r="H8" s="11" t="str">
        <x:v>BV-003</x:v>
      </x:c>
      <x:c r="I8" s="11" t="str">
        <x:v>Blocked</x:v>
      </x:c>
      <x:c r="J8" s="11" t="str">
        <x:v>Launch assumptions and legal-review owners documented</x:v>
      </x:c>
      <x:c r="K8" s="11" t="str">
        <x:v>Decision log signed</x:v>
      </x:c>
      <x:c r="L8" s="11" t="str">
        <x:v>P0</x:v>
      </x:c>
      <x:c r="M8" s="11" t="str">
        <x:v>High</x:v>
      </x:c>
      <x:c r="N8" s="11" t="str">
        <x:v>Record DEC-001/006/009 decisions</x:v>
      </x:c>
      <x:c r="O8" s="11" t="str">
        <x:v>2026-10-20: BV-003 incomplete. Recommendations in docs/p0/REVIEW-PACKET.md; DEC-001/006/009 remain Open. Product/Legal decisions and named legal reviewer pending.</x:v>
      </x:c>
    </x:row>
    <x:row r="9" ht="36" customHeight="1">
      <x:c r="A9" s="10" t="str">
        <x:v>BV-008</x:v>
      </x:c>
      <x:c r="B9" s="10" t="str">
        <x:v>P1</x:v>
      </x:c>
      <x:c r="C9" s="10" t="str">
        <x:v>Identity</x:v>
      </x:c>
      <x:c r="D9" s="11" t="str">
        <x:v>Implement verified-email auth and sessions</x:v>
      </x:c>
      <x:c r="E9" s="11" t="str">
        <x:v>Backend</x:v>
      </x:c>
      <x:c r="F9" s="11" t="str">
        <x:v>P0</x:v>
      </x:c>
      <x:c r="G9" s="10" t="n">
        <x:v>6</x:v>
      </x:c>
      <x:c r="H9" s="11" t="str">
        <x:v>BV-005, BV-003</x:v>
      </x:c>
      <x:c r="I9" s="11" t="str">
        <x:v>Backlog</x:v>
      </x:c>
      <x:c r="J9" s="11" t="str">
        <x:v>Invalid sessions rejected; revocation and authentication tests pass</x:v>
      </x:c>
      <x:c r="K9" s="11" t="str">
        <x:v>Identity API</x:v>
      </x:c>
      <x:c r="L9" s="11" t="str">
        <x:v>P1</x:v>
      </x:c>
      <x:c r="M9" s="11" t="str">
        <x:v>High</x:v>
      </x:c>
      <x:c r="N9" s="11" t="str">
        <x:v>Identity foundation and secure session lifecycle</x:v>
      </x:c>
      <x:c r="O9" s="11" t="str"/>
    </x:row>
    <x:row r="10" ht="36" customHeight="1">
      <x:c r="A10" s="10" t="str">
        <x:v>BV-009</x:v>
      </x:c>
      <x:c r="B10" s="10" t="str">
        <x:v>P1</x:v>
      </x:c>
      <x:c r="C10" s="10" t="str">
        <x:v>Identity</x:v>
      </x:c>
      <x:c r="D10" s="11" t="str">
        <x:v>Implement family profiles, authorization grants and audit</x:v>
      </x:c>
      <x:c r="E10" s="11" t="str">
        <x:v>Backend</x:v>
      </x:c>
      <x:c r="F10" s="11" t="str">
        <x:v>P0</x:v>
      </x:c>
      <x:c r="G10" s="10" t="n">
        <x:v>8</x:v>
      </x:c>
      <x:c r="H10" s="11" t="str">
        <x:v>BV-008, BV-003</x:v>
      </x:c>
      <x:c r="I10" s="11" t="str">
        <x:v>Backlog</x:v>
      </x:c>
      <x:c r="J10" s="11" t="str">
        <x:v>Profile A cannot access B via API/worker/cache; revocation test passes</x:v>
      </x:c>
      <x:c r="K10" s="11" t="str">
        <x:v>Profile policy service</x:v>
      </x:c>
      <x:c r="L10" s="11" t="str">
        <x:v>P1</x:v>
      </x:c>
      <x:c r="M10" s="11" t="str">
        <x:v>High</x:v>
      </x:c>
      <x:c r="N10" s="11" t="str">
        <x:v>All profile-scoped access checks</x:v>
      </x:c>
      <x:c r="O10" s="11" t="str"/>
    </x:row>
    <x:row r="11" ht="36" customHeight="1">
      <x:c r="A11" s="10" t="str">
        <x:v>BV-010</x:v>
      </x:c>
      <x:c r="B11" s="10" t="str">
        <x:v>P1</x:v>
      </x:c>
      <x:c r="C11" s="10" t="str">
        <x:v>Data</x:v>
      </x:c>
      <x:c r="D11" s="11" t="str">
        <x:v>Create canonical health schema and migrations</x:v>
      </x:c>
      <x:c r="E11" s="11" t="str">
        <x:v>Backend + Data</x:v>
      </x:c>
      <x:c r="F11" s="11" t="str">
        <x:v>P0</x:v>
      </x:c>
      <x:c r="G11" s="10" t="n">
        <x:v>7</x:v>
      </x:c>
      <x:c r="H11" s="11" t="str">
        <x:v>BV-005, BV-004</x:v>
      </x:c>
      <x:c r="I11" s="11" t="str">
        <x:v>Backlog</x:v>
      </x:c>
      <x:c r="J11" s="11" t="str">
        <x:v>Schema stores comparator, specimen, method, dates and immutable raw field refs</x:v>
      </x:c>
      <x:c r="K11" s="11" t="str">
        <x:v>Health migrations</x:v>
      </x:c>
      <x:c r="L11" s="11" t="str">
        <x:v>P1</x:v>
      </x:c>
      <x:c r="M11" s="11" t="str">
        <x:v>High</x:v>
      </x:c>
      <x:c r="N11" s="11" t="str">
        <x:v>Atomic evidence model and provenance</x:v>
      </x:c>
      <x:c r="O11" s="11" t="str"/>
    </x:row>
    <x:row r="12" ht="36" customHeight="1">
      <x:c r="A12" s="10" t="str">
        <x:v>BV-011</x:v>
      </x:c>
      <x:c r="B12" s="10" t="str">
        <x:v>P1</x:v>
      </x:c>
      <x:c r="C12" s="10" t="str">
        <x:v>Platform</x:v>
      </x:c>
      <x:c r="D12" s="11" t="str">
        <x:v>Create object storage, signed access and async job framework</x:v>
      </x:c>
      <x:c r="E12" s="11" t="str">
        <x:v>Platform</x:v>
      </x:c>
      <x:c r="F12" s="11" t="str">
        <x:v>P0</x:v>
      </x:c>
      <x:c r="G12" s="10" t="n">
        <x:v>6</x:v>
      </x:c>
      <x:c r="H12" s="11" t="str">
        <x:v>BV-005, BV-003</x:v>
      </x:c>
      <x:c r="I12" s="11" t="str">
        <x:v>Backlog</x:v>
      </x:c>
      <x:c r="J12" s="11" t="str">
        <x:v>Private object access; idempotent job demo; replay-safe event</x:v>
      </x:c>
      <x:c r="K12" s="11" t="str">
        <x:v>Storage + jobs</x:v>
      </x:c>
      <x:c r="L12" s="11" t="str">
        <x:v>P1</x:v>
      </x:c>
      <x:c r="M12" s="11" t="str">
        <x:v>Medium</x:v>
      </x:c>
      <x:c r="N12" s="11" t="str">
        <x:v>Upload storage, workers and outbox</x:v>
      </x:c>
      <x:c r="O12" s="11" t="str"/>
    </x:row>
    <x:row r="13" ht="36" customHeight="1">
      <x:c r="A13" s="10" t="str">
        <x:v>BV-012</x:v>
      </x:c>
      <x:c r="B13" s="10" t="str">
        <x:v>P1</x:v>
      </x:c>
      <x:c r="C13" s="10" t="str">
        <x:v>Frontend</x:v>
      </x:c>
      <x:c r="D13" s="11" t="str">
        <x:v>Build app shell, tabs, profile switch, auth screens</x:v>
      </x:c>
      <x:c r="E13" s="11" t="str">
        <x:v>Frontend</x:v>
      </x:c>
      <x:c r="F13" s="11" t="str">
        <x:v>P0</x:v>
      </x:c>
      <x:c r="G13" s="10" t="n">
        <x:v>7</x:v>
      </x:c>
      <x:c r="H13" s="11" t="str">
        <x:v>BV-001, BV-008</x:v>
      </x:c>
      <x:c r="I13" s="11" t="str">
        <x:v>Backlog</x:v>
      </x:c>
      <x:c r="J13" s="11" t="str">
        <x:v>Three tabs usable with feature flags; profile indicator shown</x:v>
      </x:c>
      <x:c r="K13" s="11" t="str">
        <x:v>App shell</x:v>
      </x:c>
      <x:c r="L13" s="11" t="str">
        <x:v>P1</x:v>
      </x:c>
      <x:c r="M13" s="11" t="str">
        <x:v>Medium</x:v>
      </x:c>
      <x:c r="N13" s="11" t="str">
        <x:v>Accessible responsive global navigation</x:v>
      </x:c>
      <x:c r="O13" s="11" t="str"/>
    </x:row>
    <x:row r="14" ht="36" customHeight="1">
      <x:c r="A14" s="10" t="str">
        <x:v>BV-013</x:v>
      </x:c>
      <x:c r="B14" s="10" t="str">
        <x:v>P1</x:v>
      </x:c>
      <x:c r="C14" s="10" t="str">
        <x:v>QA</x:v>
      </x:c>
      <x:c r="D14" s="11" t="str">
        <x:v>Set contract and permission integration tests</x:v>
      </x:c>
      <x:c r="E14" s="11" t="str">
        <x:v>QA</x:v>
      </x:c>
      <x:c r="F14" s="11" t="str">
        <x:v>P0</x:v>
      </x:c>
      <x:c r="G14" s="10" t="n">
        <x:v>5</x:v>
      </x:c>
      <x:c r="H14" s="11" t="str">
        <x:v>BV-009, BV-010, BV-011</x:v>
      </x:c>
      <x:c r="I14" s="11" t="str">
        <x:v>Backlog</x:v>
      </x:c>
      <x:c r="J14" s="11" t="str">
        <x:v>Negative auth tests and schema contract tests run in CI</x:v>
      </x:c>
      <x:c r="K14" s="11" t="str">
        <x:v>CI suite</x:v>
      </x:c>
      <x:c r="L14" s="11" t="str">
        <x:v>P1</x:v>
      </x:c>
      <x:c r="M14" s="11" t="str">
        <x:v>High</x:v>
      </x:c>
      <x:c r="N14" s="11" t="str">
        <x:v>Test harness and CI gating</x:v>
      </x:c>
      <x:c r="O14" s="11" t="str"/>
    </x:row>
    <x:row r="15" ht="36" customHeight="1">
      <x:c r="A15" s="10" t="str">
        <x:v>BV-014</x:v>
      </x:c>
      <x:c r="B15" s="10" t="str">
        <x:v>P2</x:v>
      </x:c>
      <x:c r="C15" s="10" t="str">
        <x:v>Health</x:v>
      </x:c>
      <x:c r="D15" s="11" t="str">
        <x:v>Implement report upload and document identity quarantine</x:v>
      </x:c>
      <x:c r="E15" s="11" t="str">
        <x:v>Backend</x:v>
      </x:c>
      <x:c r="F15" s="11" t="str">
        <x:v>P0</x:v>
      </x:c>
      <x:c r="G15" s="10" t="n">
        <x:v>7</x:v>
      </x:c>
      <x:c r="H15" s="11" t="str">
        <x:v>BV-009, BV-010, BV-011</x:v>
      </x:c>
      <x:c r="I15" s="11" t="str">
        <x:v>Backlog</x:v>
      </x:c>
      <x:c r="J15" s="11" t="str">
        <x:v>Upload belongs to selected profile; mismatched identity quarantined</x:v>
      </x:c>
      <x:c r="K15" s="11" t="str">
        <x:v>Upload API</x:v>
      </x:c>
      <x:c r="L15" s="11" t="str">
        <x:v>P2</x:v>
      </x:c>
      <x:c r="M15" s="11" t="str">
        <x:v>High</x:v>
      </x:c>
      <x:c r="N15" s="11" t="str">
        <x:v>Multi-page upload, scanning, metadata and ownership</x:v>
      </x:c>
      <x:c r="O15" s="11" t="str"/>
    </x:row>
    <x:row r="16" ht="36" customHeight="1">
      <x:c r="A16" s="10" t="str">
        <x:v>BV-015</x:v>
      </x:c>
      <x:c r="B16" s="10" t="str">
        <x:v>P2</x:v>
      </x:c>
      <x:c r="C16" s="10" t="str">
        <x:v>Health</x:v>
      </x:c>
      <x:c r="D16" s="11" t="str">
        <x:v>Build OCR adapter and layout-aware extraction pipeline</x:v>
      </x:c>
      <x:c r="E16" s="11" t="str">
        <x:v>AI/Backend</x:v>
      </x:c>
      <x:c r="F16" s="11" t="str">
        <x:v>P0</x:v>
      </x:c>
      <x:c r="G16" s="10" t="n">
        <x:v>10</x:v>
      </x:c>
      <x:c r="H16" s="11" t="str">
        <x:v>BV-014, BV-006</x:v>
      </x:c>
      <x:c r="I16" s="11" t="str">
        <x:v>Backlog</x:v>
      </x:c>
      <x:c r="J16" s="11" t="str">
        <x:v>Every field has source page/region where feasible; extraction version tracked</x:v>
      </x:c>
      <x:c r="K16" s="11" t="str">
        <x:v>Extraction worker</x:v>
      </x:c>
      <x:c r="L16" s="11" t="str">
        <x:v>P2</x:v>
      </x:c>
      <x:c r="M16" s="11" t="str">
        <x:v>High</x:v>
      </x:c>
      <x:c r="N16" s="11" t="str">
        <x:v>Page/box provenance and table relationships</x:v>
      </x:c>
      <x:c r="O16" s="11" t="str"/>
    </x:row>
    <x:row r="17" ht="36" customHeight="1">
      <x:c r="A17" s="10" t="str">
        <x:v>BV-016</x:v>
      </x:c>
      <x:c r="B17" s="10" t="str">
        <x:v>P2</x:v>
      </x:c>
      <x:c r="C17" s="10" t="str">
        <x:v>Health</x:v>
      </x:c>
      <x:c r="D17" s="11" t="str">
        <x:v>Build human verification/correction UI</x:v>
      </x:c>
      <x:c r="E17" s="11" t="str">
        <x:v>Frontend</x:v>
      </x:c>
      <x:c r="F17" s="11" t="str">
        <x:v>P0</x:v>
      </x:c>
      <x:c r="G17" s="10" t="n">
        <x:v>7</x:v>
      </x:c>
      <x:c r="H17" s="11" t="str">
        <x:v>BV-015, BV-012</x:v>
      </x:c>
      <x:c r="I17" s="11" t="str">
        <x:v>Backlog</x:v>
      </x:c>
      <x:c r="J17" s="11" t="str">
        <x:v>Correction history preserved, uncertain fields require review</x:v>
      </x:c>
      <x:c r="K17" s="11" t="str">
        <x:v>Verification screen</x:v>
      </x:c>
      <x:c r="L17" s="11" t="str">
        <x:v>P2</x:v>
      </x:c>
      <x:c r="M17" s="11" t="str">
        <x:v>High</x:v>
      </x:c>
      <x:c r="N17" s="11" t="str">
        <x:v>Confirm raw value/unit/interval/date before publication</x:v>
      </x:c>
      <x:c r="O17" s="11" t="str"/>
    </x:row>
    <x:row r="18" ht="36" customHeight="1">
      <x:c r="A18" s="10" t="str">
        <x:v>BV-017</x:v>
      </x:c>
      <x:c r="B18" s="10" t="str">
        <x:v>P2</x:v>
      </x:c>
      <x:c r="C18" s="10" t="str">
        <x:v>Health</x:v>
      </x:c>
      <x:c r="D18" s="11" t="str">
        <x:v>Implement source observation storage and status changes</x:v>
      </x:c>
      <x:c r="E18" s="11" t="str">
        <x:v>Backend</x:v>
      </x:c>
      <x:c r="F18" s="11" t="str">
        <x:v>P0</x:v>
      </x:c>
      <x:c r="G18" s="10" t="n">
        <x:v>6</x:v>
      </x:c>
      <x:c r="H18" s="11" t="str">
        <x:v>BV-010, BV-015</x:v>
      </x:c>
      <x:c r="I18" s="11" t="str">
        <x:v>Backlog</x:v>
      </x:c>
      <x:c r="J18" s="11" t="str">
        <x:v>No source field overwritten by derived value; auditable versioning</x:v>
      </x:c>
      <x:c r="K18" s="11" t="str">
        <x:v>Observation repository</x:v>
      </x:c>
      <x:c r="L18" s="11" t="str">
        <x:v>P2</x:v>
      </x:c>
      <x:c r="M18" s="11" t="str">
        <x:v>High</x:v>
      </x:c>
      <x:c r="N18" s="11" t="str">
        <x:v>Raw vs verified data boundary</x:v>
      </x:c>
      <x:c r="O18" s="11" t="str"/>
    </x:row>
    <x:row r="19" ht="36" customHeight="1">
      <x:c r="A19" s="10" t="str">
        <x:v>BV-018</x:v>
      </x:c>
      <x:c r="B19" s="10" t="str">
        <x:v>P2</x:v>
      </x:c>
      <x:c r="C19" s="10" t="str">
        <x:v>QA</x:v>
      </x:c>
      <x:c r="D19" s="11" t="str">
        <x:v>Build 50+ synthetic clinical extraction golden cases</x:v>
      </x:c>
      <x:c r="E19" s="11" t="str">
        <x:v>QA + Clinical</x:v>
      </x:c>
      <x:c r="F19" s="11" t="str">
        <x:v>P0</x:v>
      </x:c>
      <x:c r="G19" s="10" t="n">
        <x:v>6</x:v>
      </x:c>
      <x:c r="H19" s="11" t="str">
        <x:v>BV-015, BV-004</x:v>
      </x:c>
      <x:c r="I19" s="11" t="str">
        <x:v>Backlog</x:v>
      </x:c>
      <x:c r="J19" s="11" t="str">
        <x:v>Expected raw field exact matches, identity conflict and failure states covered</x:v>
      </x:c>
      <x:c r="K19" s="11" t="str">
        <x:v>Extraction goldens</x:v>
      </x:c>
      <x:c r="L19" s="11" t="str">
        <x:v>P2</x:v>
      </x:c>
      <x:c r="M19" s="11" t="str">
        <x:v>High</x:v>
      </x:c>
      <x:c r="N19" s="11" t="str">
        <x:v>Diverse source variants, censored and corrected</x:v>
      </x:c>
      <x:c r="O19" s="11" t="str"/>
    </x:row>
    <x:row r="20" ht="36" customHeight="1">
      <x:c r="A20" s="10" t="str">
        <x:v>BV-019</x:v>
      </x:c>
      <x:c r="B20" s="10" t="str">
        <x:v>P3</x:v>
      </x:c>
      <x:c r="C20" s="10" t="str">
        <x:v>Clinical</x:v>
      </x:c>
      <x:c r="D20" s="11" t="str">
        <x:v>Implement comparability cohorts and controlled aggregation</x:v>
      </x:c>
      <x:c r="E20" s="11" t="str">
        <x:v>Health + Clinical</x:v>
      </x:c>
      <x:c r="F20" s="11" t="str">
        <x:v>P0</x:v>
      </x:c>
      <x:c r="G20" s="10" t="n">
        <x:v>10</x:v>
      </x:c>
      <x:c r="H20" s="11" t="str">
        <x:v>BV-017, BV-018</x:v>
      </x:c>
      <x:c r="I20" s="11" t="str">
        <x:v>Backlog</x:v>
      </x:c>
      <x:c r="J20" s="11" t="str">
        <x:v>Zero known false merges on goldens; full provenance for derived values</x:v>
      </x:c>
      <x:c r="K20" s="11" t="str">
        <x:v>Comparability service</x:v>
      </x:c>
      <x:c r="L20" s="11" t="str">
        <x:v>P3</x:v>
      </x:c>
      <x:c r="M20" s="11" t="str">
        <x:v>High</x:v>
      </x:c>
      <x:c r="N20" s="11" t="str">
        <x:v>No averaging distinct lab results; provenance lineage</x:v>
      </x:c>
      <x:c r="O20" s="11" t="str"/>
    </x:row>
    <x:row r="21" ht="36" customHeight="1">
      <x:c r="A21" s="10" t="str">
        <x:v>BV-020</x:v>
      </x:c>
      <x:c r="B21" s="10" t="str">
        <x:v>P3</x:v>
      </x:c>
      <x:c r="C21" s="10" t="str">
        <x:v>Health</x:v>
      </x:c>
      <x:c r="D21" s="11" t="str">
        <x:v>Implement versioned longitudinal biomarker trends</x:v>
      </x:c>
      <x:c r="E21" s="11" t="str">
        <x:v>Backend</x:v>
      </x:c>
      <x:c r="F21" s="11" t="str">
        <x:v>P0</x:v>
      </x:c>
      <x:c r="G21" s="10" t="n">
        <x:v>8</x:v>
      </x:c>
      <x:c r="H21" s="11" t="str">
        <x:v>BV-019</x:v>
      </x:c>
      <x:c r="I21" s="11" t="str">
        <x:v>Backlog</x:v>
      </x:c>
      <x:c r="J21" s="11" t="str">
        <x:v>Time/specimen/method and comparators respected; corrections invalidate cache</x:v>
      </x:c>
      <x:c r="K21" s="11" t="str">
        <x:v>Trend API</x:v>
      </x:c>
      <x:c r="L21" s="11" t="str">
        <x:v>P3</x:v>
      </x:c>
      <x:c r="M21" s="11" t="str">
        <x:v>High</x:v>
      </x:c>
      <x:c r="N21" s="11" t="str">
        <x:v>Comparable, qualified trend histories</x:v>
      </x:c>
      <x:c r="O21" s="11" t="str"/>
    </x:row>
    <x:row r="22" ht="36" customHeight="1">
      <x:c r="A22" s="10" t="str">
        <x:v>BV-021</x:v>
      </x:c>
      <x:c r="B22" s="10" t="str">
        <x:v>P3</x:v>
      </x:c>
      <x:c r="C22" s="10" t="str">
        <x:v>Frontend</x:v>
      </x:c>
      <x:c r="D22" s="11" t="str">
        <x:v>Create health dashboard and report evidence drilldowns</x:v>
      </x:c>
      <x:c r="E22" s="11" t="str">
        <x:v>Frontend</x:v>
      </x:c>
      <x:c r="F22" s="11" t="str">
        <x:v>P1</x:v>
      </x:c>
      <x:c r="G22" s="10" t="n">
        <x:v>10</x:v>
      </x:c>
      <x:c r="H22" s="11" t="str">
        <x:v>BV-016, BV-020</x:v>
      </x:c>
      <x:c r="I22" s="11" t="str">
        <x:v>Backlog</x:v>
      </x:c>
      <x:c r="J22" s="11" t="str">
        <x:v>Every displayed value has evidence link; no generic organ health score</x:v>
      </x:c>
      <x:c r="K22" s="11" t="str">
        <x:v>Health UI</x:v>
      </x:c>
      <x:c r="L22" s="11" t="str">
        <x:v>P3</x:v>
      </x:c>
      <x:c r="M22" s="11" t="str">
        <x:v>Medium</x:v>
      </x:c>
      <x:c r="N22" s="11" t="str">
        <x:v>Body map with verified vs not-assessed labels</x:v>
      </x:c>
      <x:c r="O22" s="11" t="str"/>
    </x:row>
    <x:row r="23" ht="36" customHeight="1">
      <x:c r="A23" s="10" t="str">
        <x:v>BV-022</x:v>
      </x:c>
      <x:c r="B23" s="10" t="str">
        <x:v>P3</x:v>
      </x:c>
      <x:c r="C23" s="10" t="str">
        <x:v>Health</x:v>
      </x:c>
      <x:c r="D23" s="11" t="str">
        <x:v>Implement cross-report comparison service</x:v>
      </x:c>
      <x:c r="E23" s="11" t="str">
        <x:v>Backend</x:v>
      </x:c>
      <x:c r="F23" s="11" t="str">
        <x:v>P0</x:v>
      </x:c>
      <x:c r="G23" s="10" t="n">
        <x:v>7</x:v>
      </x:c>
      <x:c r="H23" s="11" t="str">
        <x:v>BV-019, BV-020</x:v>
      </x:c>
      <x:c r="I23" s="11" t="str">
        <x:v>Backlog</x:v>
      </x:c>
      <x:c r="J23" s="11" t="str">
        <x:v>Comparison excludes noncomparable results and cites both documents</x:v>
      </x:c>
      <x:c r="K23" s="11" t="str">
        <x:v>Comparison API</x:v>
      </x:c>
      <x:c r="L23" s="11" t="str">
        <x:v>P3</x:v>
      </x:c>
      <x:c r="M23" s="11" t="str">
        <x:v>High</x:v>
      </x:c>
      <x:c r="N23" s="11" t="str">
        <x:v>Safe marker matching, source differences</x:v>
      </x:c>
      <x:c r="O23" s="11" t="str"/>
    </x:row>
    <x:row r="24" ht="36" customHeight="1">
      <x:c r="A24" s="10" t="str">
        <x:v>BV-023</x:v>
      </x:c>
      <x:c r="B24" s="10" t="str">
        <x:v>P3</x:v>
      </x:c>
      <x:c r="C24" s="10" t="str">
        <x:v>QA</x:v>
      </x:c>
      <x:c r="D24" s="11" t="str">
        <x:v>Validate clinical interpretations and provenance UX</x:v>
      </x:c>
      <x:c r="E24" s="11" t="str">
        <x:v>QA + Clinical</x:v>
      </x:c>
      <x:c r="F24" s="11" t="str">
        <x:v>P0</x:v>
      </x:c>
      <x:c r="G24" s="10" t="n">
        <x:v>7</x:v>
      </x:c>
      <x:c r="H24" s="11" t="str">
        <x:v>BV-021, BV-022</x:v>
      </x:c>
      <x:c r="I24" s="11" t="str">
        <x:v>Backlog</x:v>
      </x:c>
      <x:c r="J24" s="11" t="str">
        <x:v>Goldens pass; ambiguities shown; source correction propagation tested</x:v>
      </x:c>
      <x:c r="K24" s="11" t="str">
        <x:v>P3 clinical gate</x:v>
      </x:c>
      <x:c r="L24" s="11" t="str">
        <x:v>P3</x:v>
      </x:c>
      <x:c r="M24" s="11" t="str">
        <x:v>High</x:v>
      </x:c>
      <x:c r="N24" s="11" t="str">
        <x:v>Clinical signoff on report and comparison goldens</x:v>
      </x:c>
      <x:c r="O24" s="11" t="str"/>
    </x:row>
    <x:row r="25" ht="36" customHeight="1">
      <x:c r="A25" s="10" t="str">
        <x:v>BV-024</x:v>
      </x:c>
      <x:c r="B25" s="10" t="str">
        <x:v>P4</x:v>
      </x:c>
      <x:c r="C25" s="10" t="str">
        <x:v>AI</x:v>
      </x:c>
      <x:c r="D25" s="11" t="str">
        <x:v>Implement provider-neutral AI Gateway</x:v>
      </x:c>
      <x:c r="E25" s="11" t="str">
        <x:v>AI/Platform</x:v>
      </x:c>
      <x:c r="F25" s="11" t="str">
        <x:v>P0</x:v>
      </x:c>
      <x:c r="G25" s="10" t="n">
        <x:v>9</x:v>
      </x:c>
      <x:c r="H25" s="11" t="str">
        <x:v>BV-006, BV-005</x:v>
      </x:c>
      <x:c r="I25" s="11" t="str">
        <x:v>Backlog</x:v>
      </x:c>
      <x:c r="J25" s="11" t="str">
        <x:v>All SDK use isolated; schema invalid output fails safely; budgets observed</x:v>
      </x:c>
      <x:c r="K25" s="11" t="str">
        <x:v>AI Gateway</x:v>
      </x:c>
      <x:c r="L25" s="11" t="str">
        <x:v>P4</x:v>
      </x:c>
      <x:c r="M25" s="11" t="str">
        <x:v>High</x:v>
      </x:c>
      <x:c r="N25" s="11" t="str">
        <x:v>Policy, routing, minimization, schema, token budget</x:v>
      </x:c>
      <x:c r="O25" s="11" t="str"/>
    </x:row>
    <x:row r="26" ht="36" customHeight="1">
      <x:c r="A26" s="10" t="str">
        <x:v>BV-025</x:v>
      </x:c>
      <x:c r="B26" s="10" t="str">
        <x:v>P4</x:v>
      </x:c>
      <x:c r="C26" s="10" t="str">
        <x:v>AI</x:v>
      </x:c>
      <x:c r="D26" s="11" t="str">
        <x:v>Implement permission-checked tool registry and adapters</x:v>
      </x:c>
      <x:c r="E26" s="11" t="str">
        <x:v>AI/Backend</x:v>
      </x:c>
      <x:c r="F26" s="11" t="str">
        <x:v>P0</x:v>
      </x:c>
      <x:c r="G26" s="10" t="n">
        <x:v>9</x:v>
      </x:c>
      <x:c r="H26" s="11" t="str">
        <x:v>BV-009, BV-022, BV-024</x:v>
      </x:c>
      <x:c r="I26" s="11" t="str">
        <x:v>Backlog</x:v>
      </x:c>
      <x:c r="J26" s="11" t="str">
        <x:v>Tool allowlist enforced; profile isolation and timeout pass</x:v>
      </x:c>
      <x:c r="K26" s="11" t="str">
        <x:v>AI tools</x:v>
      </x:c>
      <x:c r="L26" s="11" t="str">
        <x:v>P4</x:v>
      </x:c>
      <x:c r="M26" s="11" t="str">
        <x:v>High</x:v>
      </x:c>
      <x:c r="N26" s="11" t="str">
        <x:v>Tools call health/wellness domain services, never database</x:v>
      </x:c>
      <x:c r="O26" s="11" t="str"/>
    </x:row>
    <x:row r="27" ht="36" customHeight="1">
      <x:c r="A27" s="10" t="str">
        <x:v>BV-026</x:v>
      </x:c>
      <x:c r="B27" s="10" t="str">
        <x:v>P4</x:v>
      </x:c>
      <x:c r="C27" s="10" t="str">
        <x:v>AI</x:v>
      </x:c>
      <x:c r="D27" s="11" t="str">
        <x:v>Build context manifest and conversation orchestrator</x:v>
      </x:c>
      <x:c r="E27" s="11" t="str">
        <x:v>AI</x:v>
      </x:c>
      <x:c r="F27" s="11" t="str">
        <x:v>P0</x:v>
      </x:c>
      <x:c r="G27" s="10" t="n">
        <x:v>8</x:v>
      </x:c>
      <x:c r="H27" s="11" t="str">
        <x:v>BV-025</x:v>
      </x:c>
      <x:c r="I27" s="11" t="str">
        <x:v>Backlog</x:v>
      </x:c>
      <x:c r="J27" s="11" t="str">
        <x:v>Relevant evidence retrieved without full raw report leakage</x:v>
      </x:c>
      <x:c r="K27" s="11" t="str">
        <x:v>Orchestrator</x:v>
      </x:c>
      <x:c r="L27" s="11" t="str">
        <x:v>P4</x:v>
      </x:c>
      <x:c r="M27" s="11" t="str">
        <x:v>High</x:v>
      </x:c>
      <x:c r="N27" s="11" t="str">
        <x:v>Filtered health context + tool plan</x:v>
      </x:c>
      <x:c r="O27" s="11" t="str"/>
    </x:row>
    <x:row r="28" ht="36" customHeight="1">
      <x:c r="A28" s="10" t="str">
        <x:v>BV-027</x:v>
      </x:c>
      <x:c r="B28" s="10" t="str">
        <x:v>P4</x:v>
      </x:c>
      <x:c r="C28" s="10" t="str">
        <x:v>Frontend</x:v>
      </x:c>
      <x:c r="D28" s="11" t="str">
        <x:v>Build structured chat UI cards and citations</x:v>
      </x:c>
      <x:c r="E28" s="11" t="str">
        <x:v>Frontend</x:v>
      </x:c>
      <x:c r="F28" s="11" t="str">
        <x:v>P1</x:v>
      </x:c>
      <x:c r="G28" s="10" t="n">
        <x:v>8</x:v>
      </x:c>
      <x:c r="H28" s="11" t="str">
        <x:v>BV-026, BV-012</x:v>
      </x:c>
      <x:c r="I28" s="11" t="str">
        <x:v>Backlog</x:v>
      </x:c>
      <x:c r="J28" s="11" t="str">
        <x:v>Rendering rejects arbitrary HTML and supports RTL/citations</x:v>
      </x:c>
      <x:c r="K28" s="11" t="str">
        <x:v>AI chat UI</x:v>
      </x:c>
      <x:c r="L28" s="11" t="str">
        <x:v>P4</x:v>
      </x:c>
      <x:c r="M28" s="11" t="str">
        <x:v>Medium</x:v>
      </x:c>
      <x:c r="N28" s="11" t="str">
        <x:v>Schema-validated components, accessible</x:v>
      </x:c>
      <x:c r="O28" s="11" t="str"/>
    </x:row>
    <x:row r="29" ht="36" customHeight="1">
      <x:c r="A29" s="10" t="str">
        <x:v>BV-028</x:v>
      </x:c>
      <x:c r="B29" s="10" t="str">
        <x:v>P4</x:v>
      </x:c>
      <x:c r="C29" s="10" t="str">
        <x:v>Security</x:v>
      </x:c>
      <x:c r="D29" s="11" t="str">
        <x:v>Run AI injection/PHI and provider regression suite</x:v>
      </x:c>
      <x:c r="E29" s="11" t="str">
        <x:v>QA + Security</x:v>
      </x:c>
      <x:c r="F29" s="11" t="str">
        <x:v>P0</x:v>
      </x:c>
      <x:c r="G29" s="10" t="n">
        <x:v>7</x:v>
      </x:c>
      <x:c r="H29" s="11" t="str">
        <x:v>BV-026, BV-027</x:v>
      </x:c>
      <x:c r="I29" s="11" t="str">
        <x:v>Backlog</x:v>
      </x:c>
      <x:c r="J29" s="11" t="str">
        <x:v>All high-severity prompt injection/citation cases pass</x:v>
      </x:c>
      <x:c r="K29" s="11" t="str">
        <x:v>AI safety gate</x:v>
      </x:c>
      <x:c r="L29" s="11" t="str">
        <x:v>P4</x:v>
      </x:c>
      <x:c r="M29" s="11" t="str">
        <x:v>High</x:v>
      </x:c>
      <x:c r="N29" s="11" t="str">
        <x:v>Cross-profile, malicious PDF/post, fabricated source</x:v>
      </x:c>
      <x:c r="O29" s="11" t="str"/>
    </x:row>
    <x:row r="30" ht="36" customHeight="1">
      <x:c r="A30" s="10" t="str">
        <x:v>BV-029</x:v>
      </x:c>
      <x:c r="B30" s="10" t="str">
        <x:v>P5</x:v>
      </x:c>
      <x:c r="C30" s="10" t="str">
        <x:v>Pilot</x:v>
      </x:c>
      <x:c r="D30" s="11" t="str">
        <x:v>Create consented pilot protocol and qualitative interview plan</x:v>
      </x:c>
      <x:c r="E30" s="11" t="str">
        <x:v>Product + Clinical</x:v>
      </x:c>
      <x:c r="F30" s="11" t="str">
        <x:v>P0</x:v>
      </x:c>
      <x:c r="G30" s="10" t="n">
        <x:v>4</x:v>
      </x:c>
      <x:c r="H30" s="11" t="str">
        <x:v>BV-023, BV-028</x:v>
      </x:c>
      <x:c r="I30" s="11" t="str">
        <x:v>Backlog</x:v>
      </x:c>
      <x:c r="J30" s="11" t="str">
        <x:v>Privacy, success criteria, participant rights documented</x:v>
      </x:c>
      <x:c r="K30" s="11" t="str">
        <x:v>Pilot protocol</x:v>
      </x:c>
      <x:c r="L30" s="11" t="str">
        <x:v>P5</x:v>
      </x:c>
      <x:c r="M30" s="11" t="str">
        <x:v>High</x:v>
      </x:c>
      <x:c r="N30" s="11" t="str">
        <x:v>Family pilot with safe synthetic/matched reports</x:v>
      </x:c>
      <x:c r="O30" s="11" t="str"/>
    </x:row>
    <x:row r="31" ht="36" customHeight="1">
      <x:c r="A31" s="10" t="str">
        <x:v>BV-030</x:v>
      </x:c>
      <x:c r="B31" s="10" t="str">
        <x:v>P5</x:v>
      </x:c>
      <x:c r="C31" s="10" t="str">
        <x:v>QA</x:v>
      </x:c>
      <x:c r="D31" s="11" t="str">
        <x:v>E2E user journeys and accessibility/l10n audit</x:v>
      </x:c>
      <x:c r="E31" s="11" t="str">
        <x:v>QA + UX</x:v>
      </x:c>
      <x:c r="F31" s="11" t="str">
        <x:v>P0</x:v>
      </x:c>
      <x:c r="G31" s="10" t="n">
        <x:v>8</x:v>
      </x:c>
      <x:c r="H31" s="11" t="str">
        <x:v>BV-029</x:v>
      </x:c>
      <x:c r="I31" s="11" t="str">
        <x:v>Backlog</x:v>
      </x:c>
      <x:c r="J31" s="11" t="str">
        <x:v>Critical journeys pass; WCAG and Arabic/English defects triaged</x:v>
      </x:c>
      <x:c r="K31" s="11" t="str">
        <x:v>E2E report</x:v>
      </x:c>
      <x:c r="L31" s="11" t="str">
        <x:v>P5</x:v>
      </x:c>
      <x:c r="M31" s="11" t="str">
        <x:v>Medium</x:v>
      </x:c>
      <x:c r="N31" s="11" t="str">
        <x:v>Upload→verify→trend→chat; switching family</x:v>
      </x:c>
      <x:c r="O31" s="11" t="str"/>
    </x:row>
    <x:row r="32" ht="36" customHeight="1">
      <x:c r="A32" s="10" t="str">
        <x:v>BV-031</x:v>
      </x:c>
      <x:c r="B32" s="10" t="str">
        <x:v>P5</x:v>
      </x:c>
      <x:c r="C32" s="10" t="str">
        <x:v>Platform</x:v>
      </x:c>
      <x:c r="D32" s="11" t="str">
        <x:v>Instrument production-like observability and back-up restore</x:v>
      </x:c>
      <x:c r="E32" s="11" t="str">
        <x:v>Platform</x:v>
      </x:c>
      <x:c r="F32" s="11" t="str">
        <x:v>P0</x:v>
      </x:c>
      <x:c r="G32" s="10" t="n">
        <x:v>6</x:v>
      </x:c>
      <x:c r="H32" s="11" t="str">
        <x:v>BV-024, BV-011</x:v>
      </x:c>
      <x:c r="I32" s="11" t="str">
        <x:v>Backlog</x:v>
      </x:c>
      <x:c r="J32" s="11" t="str">
        <x:v>Trace across worker/gateway; restore tested</x:v>
      </x:c>
      <x:c r="K32" s="11" t="str">
        <x:v>Pilot ops gate</x:v>
      </x:c>
      <x:c r="L32" s="11" t="str">
        <x:v>P5</x:v>
      </x:c>
      <x:c r="M32" s="11" t="str">
        <x:v>High</x:v>
      </x:c>
      <x:c r="N32" s="11" t="str">
        <x:v>PHI-safe telemetry, error budgets, restore drill</x:v>
      </x:c>
      <x:c r="O32" s="11" t="str"/>
    </x:row>
    <x:row r="33" ht="36" customHeight="1">
      <x:c r="A33" s="10" t="str">
        <x:v>BV-032</x:v>
      </x:c>
      <x:c r="B33" s="10" t="str">
        <x:v>P5</x:v>
      </x:c>
      <x:c r="C33" s="10" t="str">
        <x:v>Pilot</x:v>
      </x:c>
      <x:c r="D33" s="11" t="str">
        <x:v>Run controlled health + AI pilot and address defects</x:v>
      </x:c>
      <x:c r="E33" s="11" t="str">
        <x:v>Product + QA</x:v>
      </x:c>
      <x:c r="F33" s="11" t="str">
        <x:v>P0</x:v>
      </x:c>
      <x:c r="G33" s="10" t="n">
        <x:v>10</x:v>
      </x:c>
      <x:c r="H33" s="11" t="str">
        <x:v>BV-030, BV-031</x:v>
      </x:c>
      <x:c r="I33" s="11" t="str">
        <x:v>Backlog</x:v>
      </x:c>
      <x:c r="J33" s="11" t="str">
        <x:v>Pilot signoff and prioritized issues recorded</x:v>
      </x:c>
      <x:c r="K33" s="11" t="str">
        <x:v>M3 pilot report</x:v>
      </x:c>
      <x:c r="L33" s="11" t="str">
        <x:v>P5</x:v>
      </x:c>
      <x:c r="M33" s="11" t="str">
        <x:v>High</x:v>
      </x:c>
      <x:c r="N33" s="11" t="str">
        <x:v>No open severity-1/2 privacy or clinical defects</x:v>
      </x:c>
      <x:c r="O33" s="11" t="str"/>
    </x:row>
    <x:row r="34" ht="36" customHeight="1">
      <x:c r="A34" s="10" t="str">
        <x:v>BV-033</x:v>
      </x:c>
      <x:c r="B34" s="10" t="str">
        <x:v>P6</x:v>
      </x:c>
      <x:c r="C34" s="10" t="str">
        <x:v>Wellness</x:v>
      </x:c>
      <x:c r="D34" s="11" t="str">
        <x:v>Implement wellness profile, baseline and goal selection</x:v>
      </x:c>
      <x:c r="E34" s="11" t="str">
        <x:v>Wellness</x:v>
      </x:c>
      <x:c r="F34" s="11" t="str">
        <x:v>P0</x:v>
      </x:c>
      <x:c r="G34" s="10" t="n">
        <x:v>7</x:v>
      </x:c>
      <x:c r="H34" s="11" t="str">
        <x:v>BV-009, BV-012, BV-032</x:v>
      </x:c>
      <x:c r="I34" s="11" t="str">
        <x:v>Backlog</x:v>
      </x:c>
      <x:c r="J34" s="11" t="str">
        <x:v>Can start without labs/wearables; goals opt-in and editable</x:v>
      </x:c>
      <x:c r="K34" s="11" t="str">
        <x:v>Wellness profile/goal</x:v>
      </x:c>
      <x:c r="L34" s="11" t="str">
        <x:v>P6</x:v>
      </x:c>
      <x:c r="M34" s="11" t="str">
        <x:v>Medium</x:v>
      </x:c>
      <x:c r="N34" s="11" t="str">
        <x:v>Voluntary barriers/readiness and context</x:v>
      </x:c>
      <x:c r="O34" s="11" t="str"/>
    </x:row>
    <x:row r="35" ht="36" customHeight="1">
      <x:c r="A35" s="10" t="str">
        <x:v>BV-034</x:v>
      </x:c>
      <x:c r="B35" s="10" t="str">
        <x:v>P6</x:v>
      </x:c>
      <x:c r="C35" s="10" t="str">
        <x:v>Clinical</x:v>
      </x:c>
      <x:c r="D35" s="11" t="str">
        <x:v>Approve action catalogue and eligibility policies</x:v>
      </x:c>
      <x:c r="E35" s="11" t="str">
        <x:v>Clinical + Behavior</x:v>
      </x:c>
      <x:c r="F35" s="11" t="str">
        <x:v>P0</x:v>
      </x:c>
      <x:c r="G35" s="10" t="n">
        <x:v>10</x:v>
      </x:c>
      <x:c r="H35" s="11" t="str">
        <x:v>BV-004, BV-033</x:v>
      </x:c>
      <x:c r="I35" s="11" t="str">
        <x:v>Backlog</x:v>
      </x:c>
      <x:c r="J35" s="11" t="str">
        <x:v>Every surfaced action reviewed and reason-traceable</x:v>
      </x:c>
      <x:c r="K35" s="11" t="str">
        <x:v>Action catalogue</x:v>
      </x:c>
      <x:c r="L35" s="11" t="str">
        <x:v>P6</x:v>
      </x:c>
      <x:c r="M35" s="11" t="str">
        <x:v>High</x:v>
      </x:c>
      <x:c r="N35" s="11" t="str">
        <x:v>Reviewed micro-actions, exclusions, locales and versions</x:v>
      </x:c>
      <x:c r="O35" s="11" t="str"/>
    </x:row>
    <x:row r="36" ht="36" customHeight="1">
      <x:c r="A36" s="10" t="str">
        <x:v>BV-035</x:v>
      </x:c>
      <x:c r="B36" s="10" t="str">
        <x:v>P6</x:v>
      </x:c>
      <x:c r="C36" s="10" t="str">
        <x:v>Wellness</x:v>
      </x:c>
      <x:c r="D36" s="11" t="str">
        <x:v>Implement plan engine and user-selected variants</x:v>
      </x:c>
      <x:c r="E36" s="11" t="str">
        <x:v>Backend</x:v>
      </x:c>
      <x:c r="F36" s="11" t="str">
        <x:v>P0</x:v>
      </x:c>
      <x:c r="G36" s="10" t="n">
        <x:v>8</x:v>
      </x:c>
      <x:c r="H36" s="11" t="str">
        <x:v>BV-033, BV-034</x:v>
      </x:c>
      <x:c r="I36" s="11" t="str">
        <x:v>Backlog</x:v>
      </x:c>
      <x:c r="J36" s="11" t="str">
        <x:v>No action from LLM free text; user selection required</x:v>
      </x:c>
      <x:c r="K36" s="11" t="str">
        <x:v>Plan Engine</x:v>
      </x:c>
      <x:c r="L36" s="11" t="str">
        <x:v>P6</x:v>
      </x:c>
      <x:c r="M36" s="11" t="str">
        <x:v>High</x:v>
      </x:c>
      <x:c r="N36" s="11" t="str">
        <x:v>Minimum/normal/fallback action service</x:v>
      </x:c>
      <x:c r="O36" s="11" t="str"/>
    </x:row>
    <x:row r="37" ht="36" customHeight="1">
      <x:c r="A37" s="10" t="str">
        <x:v>BV-036</x:v>
      </x:c>
      <x:c r="B37" s="10" t="str">
        <x:v>P6</x:v>
      </x:c>
      <x:c r="C37" s="10" t="str">
        <x:v>Wellness</x:v>
      </x:c>
      <x:c r="D37" s="11" t="str">
        <x:v>Implement check-ins, barrier and recovery flow</x:v>
      </x:c>
      <x:c r="E37" s="11" t="str">
        <x:v>Frontend + Backend</x:v>
      </x:c>
      <x:c r="F37" s="11" t="str">
        <x:v>P0</x:v>
      </x:c>
      <x:c r="G37" s="10" t="n">
        <x:v>10</x:v>
      </x:c>
      <x:c r="H37" s="11" t="str">
        <x:v>BV-035</x:v>
      </x:c>
      <x:c r="I37" s="11" t="str">
        <x:v>Backlog</x:v>
      </x:c>
      <x:c r="J37" s="11" t="str">
        <x:v>Missed app opens ≠ failed habit; recovery history persists</x:v>
      </x:c>
      <x:c r="K37" s="11" t="str">
        <x:v>Recovery UX/service</x:v>
      </x:c>
      <x:c r="L37" s="11" t="str">
        <x:v>P6</x:v>
      </x:c>
      <x:c r="M37" s="11" t="str">
        <x:v>Medium</x:v>
      </x:c>
      <x:c r="N37" s="11" t="str">
        <x:v>No punitive reset; preserved achievements</x:v>
      </x:c>
      <x:c r="O37" s="11" t="str"/>
    </x:row>
    <x:row r="38" ht="36" customHeight="1">
      <x:c r="A38" s="10" t="str">
        <x:v>BV-037</x:v>
      </x:c>
      <x:c r="B38" s="10" t="str">
        <x:v>P6</x:v>
      </x:c>
      <x:c r="C38" s="10" t="str">
        <x:v>AI</x:v>
      </x:c>
      <x:c r="D38" s="11" t="str">
        <x:v>Add authorized Wellness Coach tools and cards</x:v>
      </x:c>
      <x:c r="E38" s="11" t="str">
        <x:v>AI</x:v>
      </x:c>
      <x:c r="F38" s="11" t="str">
        <x:v>P1</x:v>
      </x:c>
      <x:c r="G38" s="10" t="n">
        <x:v>6</x:v>
      </x:c>
      <x:c r="H38" s="11" t="str">
        <x:v>BV-035, BV-026</x:v>
      </x:c>
      <x:c r="I38" s="11" t="str">
        <x:v>Backlog</x:v>
      </x:c>
      <x:c r="J38" s="11" t="str">
        <x:v>No unreviewed plan generation; tool calls scoped</x:v>
      </x:c>
      <x:c r="K38" s="11" t="str">
        <x:v>Wellness AI</x:v>
      </x:c>
      <x:c r="L38" s="11" t="str">
        <x:v>P6</x:v>
      </x:c>
      <x:c r="M38" s="11" t="str">
        <x:v>High</x:v>
      </x:c>
      <x:c r="N38" s="11" t="str">
        <x:v>Gateway explanation of deterministic decisions</x:v>
      </x:c>
      <x:c r="O38" s="11" t="str"/>
    </x:row>
    <x:row r="39" ht="36" customHeight="1">
      <x:c r="A39" s="10" t="str">
        <x:v>BV-038</x:v>
      </x:c>
      <x:c r="B39" s="10" t="str">
        <x:v>P6</x:v>
      </x:c>
      <x:c r="C39" s="10" t="str">
        <x:v>Devices</x:v>
      </x:c>
      <x:c r="D39" s="11" t="str">
        <x:v>Implement manual vitals/device integration adapter</x:v>
      </x:c>
      <x:c r="E39" s="11" t="str">
        <x:v>Integration</x:v>
      </x:c>
      <x:c r="F39" s="11" t="str">
        <x:v>P1</x:v>
      </x:c>
      <x:c r="G39" s="10" t="n">
        <x:v>8</x:v>
      </x:c>
      <x:c r="H39" s="11" t="str">
        <x:v>BV-033, BV-010</x:v>
      </x:c>
      <x:c r="I39" s="11" t="str">
        <x:v>Backlog</x:v>
      </x:c>
      <x:c r="J39" s="11" t="str">
        <x:v>Manual works; device revocation and duplicate policy tested</x:v>
      </x:c>
      <x:c r="K39" s="11" t="str">
        <x:v>Device adapter</x:v>
      </x:c>
      <x:c r="L39" s="11" t="str">
        <x:v>P6</x:v>
      </x:c>
      <x:c r="M39" s="11" t="str">
        <x:v>Medium</x:v>
      </x:c>
      <x:c r="N39" s="11" t="str">
        <x:v>Device optional; provenance/data gaps distinguished</x:v>
      </x:c>
      <x:c r="O39" s="11" t="str"/>
    </x:row>
    <x:row r="40" ht="36" customHeight="1">
      <x:c r="A40" s="10" t="str">
        <x:v>BV-039</x:v>
      </x:c>
      <x:c r="B40" s="10" t="str">
        <x:v>P6</x:v>
      </x:c>
      <x:c r="C40" s="10" t="str">
        <x:v>Wellness</x:v>
      </x:c>
      <x:c r="D40" s="11" t="str">
        <x:v>Implement preference-driven reminders and burden budget</x:v>
      </x:c>
      <x:c r="E40" s="11" t="str">
        <x:v>Wellness</x:v>
      </x:c>
      <x:c r="F40" s="11" t="str">
        <x:v>P1</x:v>
      </x:c>
      <x:c r="G40" s="10" t="n">
        <x:v>6</x:v>
      </x:c>
      <x:c r="H40" s="11" t="str">
        <x:v>BV-036</x:v>
      </x:c>
      <x:c r="I40" s="11" t="str">
        <x:v>Backlog</x:v>
      </x:c>
      <x:c r="J40" s="11" t="str">
        <x:v>No nagging after pause; reminder caps proven</x:v>
      </x:c>
      <x:c r="K40" s="11" t="str">
        <x:v>Notifications</x:v>
      </x:c>
      <x:c r="L40" s="11" t="str">
        <x:v>P6</x:v>
      </x:c>
      <x:c r="M40" s="11" t="str">
        <x:v>Medium</x:v>
      </x:c>
      <x:c r="N40" s="11" t="str">
        <x:v>Quiet hours, opt-in, consent change handling</x:v>
      </x:c>
      <x:c r="O40" s="11" t="str"/>
    </x:row>
    <x:row r="41" ht="36" customHeight="1">
      <x:c r="A41" s="10" t="str">
        <x:v>BV-040</x:v>
      </x:c>
      <x:c r="B41" s="10" t="str">
        <x:v>P6</x:v>
      </x:c>
      <x:c r="C41" s="10" t="str">
        <x:v>Analytics</x:v>
      </x:c>
      <x:c r="D41" s="11" t="str">
        <x:v>Instrument sustained behavior and equity metrics</x:v>
      </x:c>
      <x:c r="E41" s="11" t="str">
        <x:v>Product Analytics</x:v>
      </x:c>
      <x:c r="F41" s="11" t="str">
        <x:v>P0</x:v>
      </x:c>
      <x:c r="G41" s="10" t="n">
        <x:v>6</x:v>
      </x:c>
      <x:c r="H41" s="11" t="str">
        <x:v>BV-036, BV-038</x:v>
      </x:c>
      <x:c r="I41" s="11" t="str">
        <x:v>Backlog</x:v>
      </x:c>
      <x:c r="J41" s="11" t="str">
        <x:v>Outcome definitions and denominators approved before pilot</x:v>
      </x:c>
      <x:c r="K41" s="11" t="str">
        <x:v>Wellness metrics</x:v>
      </x:c>
      <x:c r="L41" s="11" t="str">
        <x:v>P6</x:v>
      </x:c>
      <x:c r="M41" s="11" t="str">
        <x:v>Medium</x:v>
      </x:c>
      <x:c r="N41" s="11" t="str">
        <x:v>3/6/12 mo cohort, recovery time, missingness</x:v>
      </x:c>
      <x:c r="O41" s="11" t="str"/>
    </x:row>
    <x:row r="42" ht="36" customHeight="1">
      <x:c r="A42" s="10" t="str">
        <x:v>BV-041</x:v>
      </x:c>
      <x:c r="B42" s="10" t="str">
        <x:v>P6</x:v>
      </x:c>
      <x:c r="C42" s="10" t="str">
        <x:v>QA</x:v>
      </x:c>
      <x:c r="D42" s="11" t="str">
        <x:v>Run wellness safety, accessibility and adaptation goldens</x:v>
      </x:c>
      <x:c r="E42" s="11" t="str">
        <x:v>QA + Clinical</x:v>
      </x:c>
      <x:c r="F42" s="11" t="str">
        <x:v>P0</x:v>
      </x:c>
      <x:c r="G42" s="10" t="n">
        <x:v>9</x:v>
      </x:c>
      <x:c r="H42" s="11" t="str">
        <x:v>BV-036, BV-037, BV-039, BV-040</x:v>
      </x:c>
      <x:c r="I42" s="11" t="str">
        <x:v>Backlog</x:v>
      </x:c>
      <x:c r="J42" s="11" t="str">
        <x:v>No unsafe action; non-shaming recovery; locale and opt-out pass</x:v>
      </x:c>
      <x:c r="K42" s="11" t="str">
        <x:v>M4 wellness pilot gate</x:v>
      </x:c>
      <x:c r="L42" s="11" t="str">
        <x:v>P6</x:v>
      </x:c>
      <x:c r="M42" s="11" t="str">
        <x:v>High</x:v>
      </x:c>
      <x:c r="N42" s="11" t="str">
        <x:v>Heat, shift, Ramadan opt-in, mobility, illness cases</x:v>
      </x:c>
      <x:c r="O42" s="11" t="str"/>
    </x:row>
    <x:row r="43" ht="36" customHeight="1">
      <x:c r="A43" s="10" t="str">
        <x:v>BV-042</x:v>
      </x:c>
      <x:c r="B43" s="10" t="str">
        <x:v>P7</x:v>
      </x:c>
      <x:c r="C43" s="10" t="str">
        <x:v>Community</x:v>
      </x:c>
      <x:c r="D43" s="11" t="str">
        <x:v>Define reviewed source and content-label schema</x:v>
      </x:c>
      <x:c r="E43" s="11" t="str">
        <x:v>Community</x:v>
      </x:c>
      <x:c r="F43" s="11" t="str">
        <x:v>P1</x:v>
      </x:c>
      <x:c r="G43" s="10" t="n">
        <x:v>5</x:v>
      </x:c>
      <x:c r="H43" s="11" t="str">
        <x:v>BV-001, BV-003</x:v>
      </x:c>
      <x:c r="I43" s="11" t="str">
        <x:v>Backlog</x:v>
      </x:c>
      <x:c r="J43" s="11" t="str">
        <x:v>Source classifications and expiration/review requirements defined</x:v>
      </x:c>
      <x:c r="K43" s="11" t="str">
        <x:v>Content model</x:v>
      </x:c>
      <x:c r="L43" s="11" t="str">
        <x:v>P7</x:v>
      </x:c>
      <x:c r="M43" s="11" t="str">
        <x:v>Medium</x:v>
      </x:c>
      <x:c r="N43" s="11" t="str">
        <x:v>Authority level, publish date, credential policy</x:v>
      </x:c>
      <x:c r="O43" s="11" t="str"/>
    </x:row>
    <x:row r="44" ht="36" customHeight="1">
      <x:c r="A44" s="10" t="str">
        <x:v>BV-043</x:v>
      </x:c>
      <x:c r="B44" s="10" t="str">
        <x:v>P7</x:v>
      </x:c>
      <x:c r="C44" s="10" t="str">
        <x:v>Community</x:v>
      </x:c>
      <x:c r="D44" s="11" t="str">
        <x:v>Build curated read-only Community feed</x:v>
      </x:c>
      <x:c r="E44" s="11" t="str">
        <x:v>Frontend + Backend</x:v>
      </x:c>
      <x:c r="F44" s="11" t="str">
        <x:v>P1</x:v>
      </x:c>
      <x:c r="G44" s="10" t="n">
        <x:v>8</x:v>
      </x:c>
      <x:c r="H44" s="11" t="str">
        <x:v>BV-042, BV-012</x:v>
      </x:c>
      <x:c r="I44" s="11" t="str">
        <x:v>Backlog</x:v>
      </x:c>
      <x:c r="J44" s="11" t="str">
        <x:v>Public feed independent of Health; articles cite sources</x:v>
      </x:c>
      <x:c r="K44" s="11" t="str">
        <x:v>Read-only Community</x:v>
      </x:c>
      <x:c r="L44" s="11" t="str">
        <x:v>P7</x:v>
      </x:c>
      <x:c r="M44" s="11" t="str">
        <x:v>Medium</x:v>
      </x:c>
      <x:c r="N44" s="11" t="str">
        <x:v>Source-linked news/posts and search</x:v>
      </x:c>
      <x:c r="O44" s="11" t="str"/>
    </x:row>
    <x:row r="45" ht="36" customHeight="1">
      <x:c r="A45" s="10" t="str">
        <x:v>BV-044</x:v>
      </x:c>
      <x:c r="B45" s="10" t="str">
        <x:v>P7</x:v>
      </x:c>
      <x:c r="C45" s="10" t="str">
        <x:v>Trust/Safety</x:v>
      </x:c>
      <x:c r="D45" s="11" t="str">
        <x:v>Implement content submission + moderation queue behind flag</x:v>
      </x:c>
      <x:c r="E45" s="11" t="str">
        <x:v>Trust &amp; Safety</x:v>
      </x:c>
      <x:c r="F45" s="11" t="str">
        <x:v>P2</x:v>
      </x:c>
      <x:c r="G45" s="10" t="n">
        <x:v>10</x:v>
      </x:c>
      <x:c r="H45" s="11" t="str">
        <x:v>BV-043, BV-024</x:v>
      </x:c>
      <x:c r="I45" s="11" t="str">
        <x:v>Backlog</x:v>
      </x:c>
      <x:c r="J45" s="11" t="str">
        <x:v>Posts remain unpublished until policy gate; appeals auditable</x:v>
      </x:c>
      <x:c r="K45" s="11" t="str">
        <x:v>Moderation beta</x:v>
      </x:c>
      <x:c r="L45" s="11" t="str">
        <x:v>P7</x:v>
      </x:c>
      <x:c r="M45" s="11" t="str">
        <x:v>High</x:v>
      </x:c>
      <x:c r="N45" s="11" t="str">
        <x:v>Reports, bans, privacy prompts and appeals</x:v>
      </x:c>
      <x:c r="O45" s="11" t="str"/>
    </x:row>
    <x:row r="46" ht="36" customHeight="1">
      <x:c r="A46" s="10" t="str">
        <x:v>BV-045</x:v>
      </x:c>
      <x:c r="B46" s="10" t="str">
        <x:v>P7</x:v>
      </x:c>
      <x:c r="C46" s="10" t="str">
        <x:v>Security</x:v>
      </x:c>
      <x:c r="D46" s="11" t="str">
        <x:v>Pen-test Community-to-Health/AI trust boundary</x:v>
      </x:c>
      <x:c r="E46" s="11" t="str">
        <x:v>Security + QA</x:v>
      </x:c>
      <x:c r="F46" s="11" t="str">
        <x:v>P0</x:v>
      </x:c>
      <x:c r="G46" s="10" t="n">
        <x:v>7</x:v>
      </x:c>
      <x:c r="H46" s="11" t="str">
        <x:v>BV-044, BV-025</x:v>
      </x:c>
      <x:c r="I46" s="11" t="str">
        <x:v>Backlog</x:v>
      </x:c>
      <x:c r="J46" s="11" t="str">
        <x:v>Cannot access clinical context or agent tools via posts</x:v>
      </x:c>
      <x:c r="K46" s="11" t="str">
        <x:v>Community isolation gate</x:v>
      </x:c>
      <x:c r="L46" s="11" t="str">
        <x:v>P7</x:v>
      </x:c>
      <x:c r="M46" s="11" t="str">
        <x:v>High</x:v>
      </x:c>
      <x:c r="N46" s="11" t="str">
        <x:v>UGC prompt injection and data exfiltration</x:v>
      </x:c>
      <x:c r="O46" s="11" t="str"/>
    </x:row>
    <x:row r="47" ht="36" customHeight="1">
      <x:c r="A47" s="10" t="str">
        <x:v>BV-046</x:v>
      </x:c>
      <x:c r="B47" s="10" t="str">
        <x:v>P7</x:v>
      </x:c>
      <x:c r="C47" s="10" t="str">
        <x:v>Product</x:v>
      </x:c>
      <x:c r="D47" s="11" t="str">
        <x:v>Approve community posting launch separately</x:v>
      </x:c>
      <x:c r="E47" s="11" t="str">
        <x:v>Product + Legal</x:v>
      </x:c>
      <x:c r="F47" s="11" t="str">
        <x:v>P2</x:v>
      </x:c>
      <x:c r="G47" s="10" t="n">
        <x:v>4</x:v>
      </x:c>
      <x:c r="H47" s="11" t="str">
        <x:v>BV-044, BV-045</x:v>
      </x:c>
      <x:c r="I47" s="11" t="str">
        <x:v>Backlog</x:v>
      </x:c>
      <x:c r="J47" s="11" t="str">
        <x:v>Posting remains OFF unless independent gate signed</x:v>
      </x:c>
      <x:c r="K47" s="11" t="str">
        <x:v>Community go/no-go</x:v>
      </x:c>
      <x:c r="L47" s="11" t="str">
        <x:v>P7</x:v>
      </x:c>
      <x:c r="M47" s="11" t="str">
        <x:v>High</x:v>
      </x:c>
      <x:c r="N47" s="11" t="str">
        <x:v>Staff moderation, policies, legal check</x:v>
      </x:c>
      <x:c r="O47" s="11" t="str"/>
    </x:row>
    <x:row r="48" ht="36" customHeight="1">
      <x:c r="A48" s="10" t="str">
        <x:v>BV-047</x:v>
      </x:c>
      <x:c r="B48" s="10" t="str">
        <x:v>P8</x:v>
      </x:c>
      <x:c r="C48" s="10" t="str">
        <x:v>Security</x:v>
      </x:c>
      <x:c r="D48" s="11" t="str">
        <x:v>Conduct external security/privacy assessment</x:v>
      </x:c>
      <x:c r="E48" s="11" t="str">
        <x:v>Security + Legal</x:v>
      </x:c>
      <x:c r="F48" s="11" t="str">
        <x:v>P0</x:v>
      </x:c>
      <x:c r="G48" s="10" t="n">
        <x:v>8</x:v>
      </x:c>
      <x:c r="H48" s="11" t="str">
        <x:v>BV-032, BV-041</x:v>
      </x:c>
      <x:c r="I48" s="11" t="str">
        <x:v>Backlog</x:v>
      </x:c>
      <x:c r="J48" s="11" t="str">
        <x:v>No critical unremediated security findings</x:v>
      </x:c>
      <x:c r="K48" s="11" t="str">
        <x:v>Security signoff</x:v>
      </x:c>
      <x:c r="L48" s="11" t="str">
        <x:v>P8</x:v>
      </x:c>
      <x:c r="M48" s="11" t="str">
        <x:v>High</x:v>
      </x:c>
      <x:c r="N48" s="11" t="str">
        <x:v>Authz, encryption, cross-border processing, logging</x:v>
      </x:c>
      <x:c r="O48" s="11" t="str"/>
    </x:row>
    <x:row r="49" ht="36" customHeight="1">
      <x:c r="A49" s="10" t="str">
        <x:v>BV-048</x:v>
      </x:c>
      <x:c r="B49" s="10" t="str">
        <x:v>P8</x:v>
      </x:c>
      <x:c r="C49" s="10" t="str">
        <x:v>Platform</x:v>
      </x:c>
      <x:c r="D49" s="11" t="str">
        <x:v>Test rollback, disaster recovery and SLO alerting</x:v>
      </x:c>
      <x:c r="E49" s="11" t="str">
        <x:v>Platform</x:v>
      </x:c>
      <x:c r="F49" s="11" t="str">
        <x:v>P0</x:v>
      </x:c>
      <x:c r="G49" s="10" t="n">
        <x:v>7</x:v>
      </x:c>
      <x:c r="H49" s="11" t="str">
        <x:v>BV-031, BV-047</x:v>
      </x:c>
      <x:c r="I49" s="11" t="str">
        <x:v>Backlog</x:v>
      </x:c>
      <x:c r="J49" s="11" t="str">
        <x:v>Chaos/recovery drill and rollback accepted</x:v>
      </x:c>
      <x:c r="K49" s="11" t="str">
        <x:v>Ops signoff</x:v>
      </x:c>
      <x:c r="L49" s="11" t="str">
        <x:v>P8</x:v>
      </x:c>
      <x:c r="M49" s="11" t="str">
        <x:v>High</x:v>
      </x:c>
      <x:c r="N49" s="11" t="str">
        <x:v>Canary, incident runbook, backup restore</x:v>
      </x:c>
      <x:c r="O49" s="11" t="str"/>
    </x:row>
    <x:row r="50" ht="36" customHeight="1">
      <x:c r="A50" s="10" t="str">
        <x:v>BV-049</x:v>
      </x:c>
      <x:c r="B50" s="10" t="str">
        <x:v>P8</x:v>
      </x:c>
      <x:c r="C50" s="10" t="str">
        <x:v>Accessibility</x:v>
      </x:c>
      <x:c r="D50" s="11" t="str">
        <x:v>Complete localization, RTL and accessibility audit</x:v>
      </x:c>
      <x:c r="E50" s="11" t="str">
        <x:v>UX + QA</x:v>
      </x:c>
      <x:c r="F50" s="11" t="str">
        <x:v>P0</x:v>
      </x:c>
      <x:c r="G50" s="10" t="n">
        <x:v>7</x:v>
      </x:c>
      <x:c r="H50" s="11" t="str">
        <x:v>BV-041, BV-043</x:v>
      </x:c>
      <x:c r="I50" s="11" t="str">
        <x:v>Backlog</x:v>
      </x:c>
      <x:c r="J50" s="11" t="str">
        <x:v>Priority accessibility defects closed</x:v>
      </x:c>
      <x:c r="K50" s="11" t="str">
        <x:v>Accessibility signoff</x:v>
      </x:c>
      <x:c r="L50" s="11" t="str">
        <x:v>P8</x:v>
      </x:c>
      <x:c r="M50" s="11" t="str">
        <x:v>Medium</x:v>
      </x:c>
      <x:c r="N50" s="11" t="str">
        <x:v>Core en/ar UI and measured accessibility</x:v>
      </x:c>
      <x:c r="O50" s="11" t="str"/>
    </x:row>
    <x:row r="51" ht="36" customHeight="1">
      <x:c r="A51" s="10" t="str">
        <x:v>BV-050</x:v>
      </x:c>
      <x:c r="B51" s="10" t="str">
        <x:v>P8</x:v>
      </x:c>
      <x:c r="C51" s="10" t="str">
        <x:v>Legal/Clinical</x:v>
      </x:c>
      <x:c r="D51" s="11" t="str">
        <x:v>Approve jurisdiction, product claims and clinical disclaimers</x:v>
      </x:c>
      <x:c r="E51" s="11" t="str">
        <x:v>Legal + Clinical</x:v>
      </x:c>
      <x:c r="F51" s="11" t="str">
        <x:v>P0</x:v>
      </x:c>
      <x:c r="G51" s="10" t="n">
        <x:v>7</x:v>
      </x:c>
      <x:c r="H51" s="11" t="str">
        <x:v>BV-047, BV-049</x:v>
      </x:c>
      <x:c r="I51" s="11" t="str">
        <x:v>Backlog</x:v>
      </x:c>
      <x:c r="J51" s="11" t="str">
        <x:v>Regulatory approach and product claims signed</x:v>
      </x:c>
      <x:c r="K51" s="11" t="str">
        <x:v>Compliance signoff</x:v>
      </x:c>
      <x:c r="L51" s="11" t="str">
        <x:v>P8</x:v>
      </x:c>
      <x:c r="M51" s="11" t="str">
        <x:v>High</x:v>
      </x:c>
      <x:c r="N51" s="11" t="str">
        <x:v>Formal legal/clinical review of actual deployment</x:v>
      </x:c>
      <x:c r="O51" s="11" t="str"/>
    </x:row>
    <x:row r="52" ht="36" customHeight="1">
      <x:c r="A52" s="10" t="str">
        <x:v>BV-051</x:v>
      </x:c>
      <x:c r="B52" s="10" t="str">
        <x:v>P8</x:v>
      </x:c>
      <x:c r="C52" s="10" t="str">
        <x:v>Launch</x:v>
      </x:c>
      <x:c r="D52" s="11" t="str">
        <x:v>Controlled rollout with feature flags and kill switches</x:v>
      </x:c>
      <x:c r="E52" s="11" t="str">
        <x:v>Product + Platform</x:v>
      </x:c>
      <x:c r="F52" s="11" t="str">
        <x:v>P0</x:v>
      </x:c>
      <x:c r="G52" s="10" t="n">
        <x:v>5</x:v>
      </x:c>
      <x:c r="H52" s="11" t="str">
        <x:v>BV-048, BV-050</x:v>
      </x:c>
      <x:c r="I52" s="11" t="str">
        <x:v>Backlog</x:v>
      </x:c>
      <x:c r="J52" s="11" t="str">
        <x:v>All gates complete, staged rollout and rollback ready</x:v>
      </x:c>
      <x:c r="K52" s="11" t="str">
        <x:v>M6 launch</x:v>
      </x:c>
      <x:c r="L52" s="11" t="str">
        <x:v>P8</x:v>
      </x:c>
      <x:c r="M52" s="11" t="str">
        <x:v>High</x:v>
      </x:c>
      <x:c r="N52" s="11" t="str">
        <x:v>Go/no-go and monitoring launch</x:v>
      </x:c>
      <x:c r="O52" s="11" t="str"/>
    </x:row>
  </x:sheetData>
  <x:conditionalFormatting sqref="I2:I52">
    <x:cfRule type="expression" dxfId="0" priority="1">
      <x:formula>I2="Done"</x:formula>
    </x:cfRule>
    <x:cfRule type="expression" dxfId="1" priority="2">
      <x:formula>I2="Blocked"</x:formula>
    </x:cfRule>
  </x:conditionalFormatting>
  <x:conditionalFormatting sqref="F2:F52">
    <x:cfRule type="expression" dxfId="2" priority="3">
      <x:formula>F2="P0"</x:formula>
    </x:cfRule>
  </x:conditionalFormatting>
  <x:dataValidations count="3">
    <x:dataValidation type="list" sqref="F2:F250">
      <x:formula1>"P0,P1,P2"</x:formula1>
    </x:dataValidation>
    <x:dataValidation type="list" sqref="I2:I250">
      <x:formula1>"Backlog,Ready,In Progress,Blocked,In Review,Done"</x:formula1>
    </x:dataValidation>
    <x:dataValidation type="list" sqref="M2:M25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d76fead2f7434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16" hidden="0" customWidth="1"/>
    <x:col min="4" max="4" width="14" hidden="0" customWidth="1"/>
    <x:col min="5" max="5" width="19" hidden="0" customWidth="1"/>
    <x:col min="6" max="6" width="66" hidden="0" customWidth="1"/>
    <x:col min="7" max="7" width="15" hidden="0" customWidth="1"/>
    <x:col min="8" max="8" width="15" hidden="0" customWidth="1"/>
    <x:col min="9" max="9" width="11" hidden="0" customWidth="1"/>
    <x:col min="10" max="10" width="19" hidden="0" customWidth="1"/>
    <x:col min="11" max="11" width="19" hidden="0" customWidth="1"/>
  </x:cols>
  <x:sheetData>
    <x:row r="1" ht="30" customHeight="1">
      <x:c r="A1" s="4" t="str">
        <x:v>Phase</x:v>
      </x:c>
      <x:c r="B1" s="4" t="str">
        <x:v>Name</x:v>
      </x:c>
      <x:c r="C1" s="4" t="str">
        <x:v>Start Week</x:v>
      </x:c>
      <x:c r="D1" s="4" t="str">
        <x:v>End Week</x:v>
      </x:c>
      <x:c r="E1" s="4" t="str">
        <x:v>Duration (weeks)</x:v>
      </x:c>
      <x:c r="F1" s="4" t="str">
        <x:v>Scope</x:v>
      </x:c>
      <x:c r="G1" s="4" t="str">
        <x:v>Task Count</x:v>
      </x:c>
      <x:c r="H1" s="4" t="str">
        <x:v>Critical P0</x:v>
      </x:c>
      <x:c r="I1" s="4" t="str">
        <x:v>Gate</x:v>
      </x:c>
      <x:c r="J1" s="4" t="str">
        <x:v>Status</x:v>
      </x:c>
      <x:c r="K1" s="4" t="str">
        <x:v>Completion %</x:v>
      </x:c>
    </x:row>
    <x:row r="2" ht="39" customHeight="1">
      <x:c r="A2" t="str">
        <x:v>P0</x:v>
      </x:c>
      <x:c r="B2" t="str">
        <x:v>Foundation</x:v>
      </x:c>
      <x:c r="C2" t="n">
        <x:v>1</x:v>
      </x:c>
      <x:c r="D2" t="n">
        <x:v>2</x:v>
      </x:c>
      <x:c r="E2" t="n">
        <x:v>2</x:v>
      </x:c>
      <x:c r="F2" s="8" t="str">
        <x:v>Architecture, clinical governance, privacy &amp; dev tooling</x:v>
      </x:c>
      <x:c r="G2" t="n">
        <x:v>7</x:v>
      </x:c>
      <x:c r="H2" t="n">
        <x:v>7</x:v>
      </x:c>
      <x:c r="I2" t="str">
        <x:v>P0</x:v>
      </x:c>
      <x:c r="J2" t="str">
        <x:v>Blocked</x:v>
      </x:c>
      <x:c r="K2" s="14" t="n">
        <x:f>IFERROR(COUNTIFS(Tasks!$B$2:$B$52,A2,Tasks!$I$2:$I$52,"Done")/COUNTIF(Tasks!$B$2:$B$52,A2),0)</x:f>
        <x:v>0</x:v>
      </x:c>
    </x:row>
    <x:row r="3" ht="39" customHeight="1">
      <x:c r="A3" t="str">
        <x:v>P1</x:v>
      </x:c>
      <x:c r="B3" t="str">
        <x:v>Platform &amp; Identity</x:v>
      </x:c>
      <x:c r="C3" t="n">
        <x:v>3</x:v>
      </x:c>
      <x:c r="D3" t="n">
        <x:v>5</x:v>
      </x:c>
      <x:c r="E3" t="n">
        <x:v>3</x:v>
      </x:c>
      <x:c r="F3" s="8" t="str">
        <x:v>Profile auth, authorization, canonical data</x:v>
      </x:c>
      <x:c r="G3" t="n">
        <x:v>6</x:v>
      </x:c>
      <x:c r="H3" t="n">
        <x:v>6</x:v>
      </x:c>
      <x:c r="I3" t="str">
        <x:v>P1</x:v>
      </x:c>
      <x:c r="J3" t="str">
        <x:v>Not Started</x:v>
      </x:c>
      <x:c r="K3" s="14" t="n">
        <x:f>IFERROR(COUNTIFS(Tasks!$B$2:$B$52,A3,Tasks!$I$2:$I$52,"Done")/COUNTIF(Tasks!$B$2:$B$52,A3),0)</x:f>
        <x:v>0</x:v>
      </x:c>
    </x:row>
    <x:row r="4" ht="39" customHeight="1">
      <x:c r="A4" t="str">
        <x:v>P2</x:v>
      </x:c>
      <x:c r="B4" t="str">
        <x:v>Medical Reports</x:v>
      </x:c>
      <x:c r="C4" t="n">
        <x:v>6</x:v>
      </x:c>
      <x:c r="D4" t="n">
        <x:v>9</x:v>
      </x:c>
      <x:c r="E4" t="n">
        <x:v>4</x:v>
      </x:c>
      <x:c r="F4" s="8" t="str">
        <x:v>Upload, OCR, verification &amp; raw observation</x:v>
      </x:c>
      <x:c r="G4" t="n">
        <x:v>5</x:v>
      </x:c>
      <x:c r="H4" t="n">
        <x:v>5</x:v>
      </x:c>
      <x:c r="I4" t="str">
        <x:v>P2</x:v>
      </x:c>
      <x:c r="J4" t="str">
        <x:v>Not Started</x:v>
      </x:c>
      <x:c r="K4" s="14" t="n">
        <x:f>IFERROR(COUNTIFS(Tasks!$B$2:$B$52,A4,Tasks!$I$2:$I$52,"Done")/COUNTIF(Tasks!$B$2:$B$52,A4),0)</x:f>
        <x:v>0</x:v>
      </x:c>
    </x:row>
    <x:row r="5" ht="39" customHeight="1">
      <x:c r="A5" t="str">
        <x:v>P3</x:v>
      </x:c>
      <x:c r="B5" t="str">
        <x:v>Health Intelligence</x:v>
      </x:c>
      <x:c r="C5" t="n">
        <x:v>10</x:v>
      </x:c>
      <x:c r="D5" t="n">
        <x:v>13</x:v>
      </x:c>
      <x:c r="E5" t="n">
        <x:v>4</x:v>
      </x:c>
      <x:c r="F5" s="8" t="str">
        <x:v>Safe aggregation, trends, body view</x:v>
      </x:c>
      <x:c r="G5" t="n">
        <x:v>5</x:v>
      </x:c>
      <x:c r="H5" t="n">
        <x:v>4</x:v>
      </x:c>
      <x:c r="I5" t="str">
        <x:v>P3</x:v>
      </x:c>
      <x:c r="J5" t="str">
        <x:v>Not Started</x:v>
      </x:c>
      <x:c r="K5" s="14" t="n">
        <x:f>IFERROR(COUNTIFS(Tasks!$B$2:$B$52,A5,Tasks!$I$2:$I$52,"Done")/COUNTIF(Tasks!$B$2:$B$52,A5),0)</x:f>
        <x:v>0</x:v>
      </x:c>
    </x:row>
    <x:row r="6" ht="39" customHeight="1">
      <x:c r="A6" t="str">
        <x:v>P4</x:v>
      </x:c>
      <x:c r="B6" t="str">
        <x:v>AI Platform</x:v>
      </x:c>
      <x:c r="C6" t="n">
        <x:v>14</x:v>
      </x:c>
      <x:c r="D6" t="n">
        <x:v>17</x:v>
      </x:c>
      <x:c r="E6" t="n">
        <x:v>4</x:v>
      </x:c>
      <x:c r="F6" s="8" t="str">
        <x:v>AI Gateway, tools, chat</x:v>
      </x:c>
      <x:c r="G6" t="n">
        <x:v>5</x:v>
      </x:c>
      <x:c r="H6" t="n">
        <x:v>4</x:v>
      </x:c>
      <x:c r="I6" t="str">
        <x:v>P4</x:v>
      </x:c>
      <x:c r="J6" t="str">
        <x:v>Not Started</x:v>
      </x:c>
      <x:c r="K6" s="14" t="n">
        <x:f>IFERROR(COUNTIFS(Tasks!$B$2:$B$52,A6,Tasks!$I$2:$I$52,"Done")/COUNTIF(Tasks!$B$2:$B$52,A6),0)</x:f>
        <x:v>0</x:v>
      </x:c>
    </x:row>
    <x:row r="7" ht="39" customHeight="1">
      <x:c r="A7" t="str">
        <x:v>P5</x:v>
      </x:c>
      <x:c r="B7" t="str">
        <x:v>Private Pilot</x:v>
      </x:c>
      <x:c r="C7" t="n">
        <x:v>18</x:v>
      </x:c>
      <x:c r="D7" t="n">
        <x:v>20</x:v>
      </x:c>
      <x:c r="E7" t="n">
        <x:v>3</x:v>
      </x:c>
      <x:c r="F7" s="8" t="str">
        <x:v>Privacy/clinical pilot, instrumentation</x:v>
      </x:c>
      <x:c r="G7" t="n">
        <x:v>4</x:v>
      </x:c>
      <x:c r="H7" t="n">
        <x:v>4</x:v>
      </x:c>
      <x:c r="I7" t="str">
        <x:v>P5</x:v>
      </x:c>
      <x:c r="J7" t="str">
        <x:v>Not Started</x:v>
      </x:c>
      <x:c r="K7" s="14" t="n">
        <x:f>IFERROR(COUNTIFS(Tasks!$B$2:$B$52,A7,Tasks!$I$2:$I$52,"Done")/COUNTIF(Tasks!$B$2:$B$52,A7),0)</x:f>
        <x:v>0</x:v>
      </x:c>
    </x:row>
    <x:row r="8" ht="39" customHeight="1">
      <x:c r="A8" t="str">
        <x:v>P6</x:v>
      </x:c>
      <x:c r="B8" t="str">
        <x:v>Adaptive Wellness</x:v>
      </x:c>
      <x:c r="C8" t="n">
        <x:v>21</x:v>
      </x:c>
      <x:c r="D8" t="n">
        <x:v>24</x:v>
      </x:c>
      <x:c r="E8" t="n">
        <x:v>4</x:v>
      </x:c>
      <x:c r="F8" s="8" t="str">
        <x:v>Reviewed actions, plan, recovery, device data</x:v>
      </x:c>
      <x:c r="G8" t="n">
        <x:v>9</x:v>
      </x:c>
      <x:c r="H8" t="n">
        <x:v>6</x:v>
      </x:c>
      <x:c r="I8" t="str">
        <x:v>P6</x:v>
      </x:c>
      <x:c r="J8" t="str">
        <x:v>Not Started</x:v>
      </x:c>
      <x:c r="K8" s="14" t="n">
        <x:f>IFERROR(COUNTIFS(Tasks!$B$2:$B$52,A8,Tasks!$I$2:$I$52,"Done")/COUNTIF(Tasks!$B$2:$B$52,A8),0)</x:f>
        <x:v>0</x:v>
      </x:c>
    </x:row>
    <x:row r="9" ht="39" customHeight="1">
      <x:c r="A9" t="str">
        <x:v>P7</x:v>
      </x:c>
      <x:c r="B9" t="str">
        <x:v>Community Beta</x:v>
      </x:c>
      <x:c r="C9" t="n">
        <x:v>25</x:v>
      </x:c>
      <x:c r="D9" t="n">
        <x:v>28</x:v>
      </x:c>
      <x:c r="E9" t="n">
        <x:v>4</x:v>
      </x:c>
      <x:c r="F9" s="8" t="str">
        <x:v>Curated feed; moderated posting optional</x:v>
      </x:c>
      <x:c r="G9" t="n">
        <x:v>5</x:v>
      </x:c>
      <x:c r="H9" t="n">
        <x:v>1</x:v>
      </x:c>
      <x:c r="I9" t="str">
        <x:v>P7</x:v>
      </x:c>
      <x:c r="J9" t="str">
        <x:v>Not Started</x:v>
      </x:c>
      <x:c r="K9" s="14" t="n">
        <x:f>IFERROR(COUNTIFS(Tasks!$B$2:$B$52,A9,Tasks!$I$2:$I$52,"Done")/COUNTIF(Tasks!$B$2:$B$52,A9),0)</x:f>
        <x:v>0</x:v>
      </x:c>
    </x:row>
    <x:row r="10" ht="39" customHeight="1">
      <x:c r="A10" t="str">
        <x:v>P8</x:v>
      </x:c>
      <x:c r="B10" t="str">
        <x:v>Production Readiness</x:v>
      </x:c>
      <x:c r="C10" t="n">
        <x:v>29</x:v>
      </x:c>
      <x:c r="D10" t="n">
        <x:v>31</x:v>
      </x:c>
      <x:c r="E10" t="n">
        <x:v>3</x:v>
      </x:c>
      <x:c r="F10" s="8" t="str">
        <x:v>Security, legal, operations, rollout</x:v>
      </x:c>
      <x:c r="G10" t="n">
        <x:v>5</x:v>
      </x:c>
      <x:c r="H10" t="n">
        <x:v>5</x:v>
      </x:c>
      <x:c r="I10" t="str">
        <x:v>P8</x:v>
      </x:c>
      <x:c r="J10" t="str">
        <x:v>Not Started</x:v>
      </x:c>
      <x:c r="K10" s="14" t="n">
        <x:f>IFERROR(COUNTIFS(Tasks!$B$2:$B$52,A10,Tasks!$I$2:$I$52,"Done")/COUNTIF(Tasks!$B$2:$B$52,A10),0)</x:f>
        <x:v>0</x:v>
      </x:c>
    </x:row>
  </x:sheetData>
  <x:dataValidations count="1">
    <x:dataValidation type="list" sqref="J2:J10">
      <x:formula1>"Not Started,In Progress,At Risk,Gate 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6a3162cb9246f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62" hidden="0" customWidth="1"/>
    <x:col min="3" max="3" width="25" hidden="0" customWidth="1"/>
    <x:col min="4" max="4" width="15" hidden="0" customWidth="1"/>
    <x:col min="5" max="5" width="18" hidden="0" customWidth="1"/>
    <x:col min="6" max="6" width="55" hidden="0" customWidth="1"/>
  </x:cols>
  <x:sheetData>
    <x:row r="1" ht="30" customHeight="1">
      <x:c r="A1" s="4" t="str">
        <x:v>ID</x:v>
      </x:c>
      <x:c r="B1" s="4" t="str">
        <x:v>Decision</x:v>
      </x:c>
      <x:c r="C1" s="4" t="str">
        <x:v>Owner Role</x:v>
      </x:c>
      <x:c r="D1" s="4" t="str">
        <x:v>Due Gate</x:v>
      </x:c>
      <x:c r="E1" s="4" t="str">
        <x:v>Status</x:v>
      </x:c>
      <x:c r="F1" s="4" t="str">
        <x:v>Notes</x:v>
      </x:c>
    </x:row>
    <x:row r="2" ht="38" customHeight="1">
      <x:c r="A2" t="str">
        <x:v>DEC-001</x:v>
      </x:c>
      <x:c r="B2" s="8" t="str">
        <x:v>Launch jurisdiction and health-data hosting region</x:v>
      </x:c>
      <x:c r="C2" t="str">
        <x:v>Product + Legal</x:v>
      </x:c>
      <x:c r="D2" t="str">
        <x:v>P0</x:v>
      </x:c>
      <x:c r="E2" t="str">
        <x:v>Open</x:v>
      </x:c>
      <x:c r="F2" s="8" t="str">
        <x:v>Do not assume regulatory approval</x:v>
      </x:c>
    </x:row>
    <x:row r="3" ht="38" customHeight="1">
      <x:c r="A3" t="str">
        <x:v>DEC-002</x:v>
      </x:c>
      <x:c r="B3" s="8" t="str">
        <x:v>Frontend/mobile stack and deployment platform</x:v>
      </x:c>
      <x:c r="C3" t="str">
        <x:v>Tech Lead</x:v>
      </x:c>
      <x:c r="D3" t="str">
        <x:v>P0</x:v>
      </x:c>
      <x:c r="E3" t="str">
        <x:v>Open</x:v>
      </x:c>
      <x:c r="F3" s="8" t="str">
        <x:v>Favor typed contracts and monorepo</x:v>
      </x:c>
    </x:row>
    <x:row r="4" ht="38" customHeight="1">
      <x:c r="A4" t="str">
        <x:v>DEC-003</x:v>
      </x:c>
      <x:c r="B4" s="8" t="str">
        <x:v>OCR vendor and supported lab templates</x:v>
      </x:c>
      <x:c r="C4" t="str">
        <x:v>AI Lead + Clinical</x:v>
      </x:c>
      <x:c r="D4" t="str">
        <x:v>P2</x:v>
      </x:c>
      <x:c r="E4" t="str">
        <x:v>Open</x:v>
      </x:c>
      <x:c r="F4" s="8" t="str">
        <x:v>Measure on representative reports</x:v>
      </x:c>
    </x:row>
    <x:row r="5" ht="38" customHeight="1">
      <x:c r="A5" t="str">
        <x:v>DEC-004</x:v>
      </x:c>
      <x:c r="B5" s="8" t="str">
        <x:v>Named clinical/lab rule reviewer</x:v>
      </x:c>
      <x:c r="C5" t="str">
        <x:v>Product</x:v>
      </x:c>
      <x:c r="D5" t="str">
        <x:v>P0</x:v>
      </x:c>
      <x:c r="E5" t="str">
        <x:v>Open</x:v>
      </x:c>
      <x:c r="F5" s="8" t="str">
        <x:v>Independent review before pilot</x:v>
      </x:c>
    </x:row>
    <x:row r="6" ht="38" customHeight="1">
      <x:c r="A6" t="str">
        <x:v>DEC-005</x:v>
      </x:c>
      <x:c r="B6" s="8" t="str">
        <x:v>AI model provider and fallback</x:v>
      </x:c>
      <x:c r="C6" t="str">
        <x:v>AI Lead + Security</x:v>
      </x:c>
      <x:c r="D6" t="str">
        <x:v>P4</x:v>
      </x:c>
      <x:c r="E6" t="str">
        <x:v>Open</x:v>
      </x:c>
      <x:c r="F6" s="8" t="str">
        <x:v>Residency and safety eval</x:v>
      </x:c>
    </x:row>
    <x:row r="7" ht="38" customHeight="1">
      <x:c r="A7" t="str">
        <x:v>DEC-006</x:v>
      </x:c>
      <x:c r="B7" s="8" t="str">
        <x:v>English/Arabic and additional languages</x:v>
      </x:c>
      <x:c r="C7" t="str">
        <x:v>Product + UX</x:v>
      </x:c>
      <x:c r="D7" t="str">
        <x:v>P0</x:v>
      </x:c>
      <x:c r="E7" t="str">
        <x:v>Open</x:v>
      </x:c>
      <x:c r="F7" s="8" t="str">
        <x:v>RTL tests mandatory</x:v>
      </x:c>
    </x:row>
    <x:row r="8" ht="38" customHeight="1">
      <x:c r="A8" t="str">
        <x:v>DEC-007</x:v>
      </x:c>
      <x:c r="B8" s="8" t="str">
        <x:v>Wearables and authorization vendors</x:v>
      </x:c>
      <x:c r="C8" t="str">
        <x:v>Integrations</x:v>
      </x:c>
      <x:c r="D8" t="str">
        <x:v>P6</x:v>
      </x:c>
      <x:c r="E8" t="str">
        <x:v>Open</x:v>
      </x:c>
      <x:c r="F8" s="8" t="str">
        <x:v>Manual input first</x:v>
      </x:c>
    </x:row>
    <x:row r="9" ht="38" customHeight="1">
      <x:c r="A9" t="str">
        <x:v>DEC-008</x:v>
      </x:c>
      <x:c r="B9" s="8" t="str">
        <x:v>Community posting launch policy</x:v>
      </x:c>
      <x:c r="C9" t="str">
        <x:v>Trust &amp; Safety</x:v>
      </x:c>
      <x:c r="D9" t="str">
        <x:v>P7</x:v>
      </x:c>
      <x:c r="E9" t="str">
        <x:v>Open</x:v>
      </x:c>
      <x:c r="F9" s="8" t="str">
        <x:v>Posting feature flagged off</x:v>
      </x:c>
    </x:row>
    <x:row r="10" ht="38" customHeight="1">
      <x:c r="A10" t="str">
        <x:v>DEC-009</x:v>
      </x:c>
      <x:c r="B10" s="8" t="str">
        <x:v>Minors / family guardianship</x:v>
      </x:c>
      <x:c r="C10" t="str">
        <x:v>Legal + Privacy</x:v>
      </x:c>
      <x:c r="D10" t="str">
        <x:v>P1</x:v>
      </x:c>
      <x:c r="E10" t="str">
        <x:v>Open</x:v>
      </x:c>
      <x:c r="F10" s="8" t="str">
        <x:v>No minors until approved</x:v>
      </x:c>
    </x:row>
    <x:row r="11" ht="38" customHeight="1">
      <x:c r="A11" t="str">
        <x:v>DEC-010</x:v>
      </x:c>
      <x:c r="B11" s="8" t="str">
        <x:v>3/6/12 month wellness cohort design</x:v>
      </x:c>
      <x:c r="C11" t="str">
        <x:v>Product Analytics</x:v>
      </x:c>
      <x:c r="D11" t="str">
        <x:v>P6</x:v>
      </x:c>
      <x:c r="E11" t="str">
        <x:v>Open</x:v>
      </x:c>
      <x:c r="F11" s="8" t="str">
        <x:v>Not an early pilot success claim</x:v>
      </x:c>
    </x:row>
  </x:sheetData>
  <x:dataValidations count="1">
    <x:dataValidation type="list" sqref="E2:E100">
      <x:formula1>"Open,In Review,Decided,Deferred"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924a66c55b427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5" hidden="0" customWidth="1"/>
    <x:col min="4" max="4" width="12" hidden="0" customWidth="1"/>
    <x:col min="5" max="5" width="14" hidden="0" customWidth="1"/>
  </x:cols>
  <x:sheetData>
    <x:row r="1" ht="30" customHeight="1">
      <x:c r="A1" s="4" t="str">
        <x:v>Prerequisite Task</x:v>
      </x:c>
      <x:c r="B1" s="4" t="str">
        <x:v>Blocked Task</x:v>
      </x:c>
      <x:c r="C1" s="4" t="str">
        <x:v>Downstream Work</x:v>
      </x:c>
      <x:c r="D1" s="4" t="str">
        <x:v>Phase</x:v>
      </x:c>
      <x:c r="E1" s="4" t="str">
        <x:v>Priority</x:v>
      </x:c>
    </x:row>
    <x:row r="2" ht="24" customHeight="1">
      <x:c r="A2" t="str">
        <x:v>BV-001</x:v>
      </x:c>
      <x:c r="B2" t="str">
        <x:v>BV-002</x:v>
      </x:c>
      <x:c r="C2" s="8" t="str">
        <x:v>Approve modular-monolith ADR and repository topology</x:v>
      </x:c>
      <x:c r="D2" t="str">
        <x:v>P0</x:v>
      </x:c>
      <x:c r="E2" t="str">
        <x:v>P0</x:v>
      </x:c>
    </x:row>
    <x:row r="3" ht="24" customHeight="1">
      <x:c r="A3" t="str">
        <x:v>BV-001</x:v>
      </x:c>
      <x:c r="B3" t="str">
        <x:v>BV-003</x:v>
      </x:c>
      <x:c r="C3" s="8" t="str">
        <x:v>Complete profile and consent threat model</x:v>
      </x:c>
      <x:c r="D3" t="str">
        <x:v>P0</x:v>
      </x:c>
      <x:c r="E3" t="str">
        <x:v>P0</x:v>
      </x:c>
    </x:row>
    <x:row r="4" ht="24" customHeight="1">
      <x:c r="A4" t="str">
        <x:v>BV-001</x:v>
      </x:c>
      <x:c r="B4" t="str">
        <x:v>BV-004</x:v>
      </x:c>
      <x:c r="C4" s="8" t="str">
        <x:v>Appoint clinical/lab reviewer and define golden-set governance</x:v>
      </x:c>
      <x:c r="D4" t="str">
        <x:v>P0</x:v>
      </x:c>
      <x:c r="E4" t="str">
        <x:v>P0</x:v>
      </x:c>
    </x:row>
    <x:row r="5" ht="24" customHeight="1">
      <x:c r="A5" t="str">
        <x:v>BV-002</x:v>
      </x:c>
      <x:c r="B5" t="str">
        <x:v>BV-005</x:v>
      </x:c>
      <x:c r="C5" s="8" t="str">
        <x:v>Initialize monorepo, formatter, linting, test runner</x:v>
      </x:c>
      <x:c r="D5" t="str">
        <x:v>P0</x:v>
      </x:c>
      <x:c r="E5" t="str">
        <x:v>P0</x:v>
      </x:c>
    </x:row>
    <x:row r="6" ht="24" customHeight="1">
      <x:c r="A6" t="str">
        <x:v>BV-002</x:v>
      </x:c>
      <x:c r="B6" t="str">
        <x:v>BV-006</x:v>
      </x:c>
      <x:c r="C6" s="8" t="str">
        <x:v>Approve Gateway and agent service contracts</x:v>
      </x:c>
      <x:c r="D6" t="str">
        <x:v>P0</x:v>
      </x:c>
      <x:c r="E6" t="str">
        <x:v>P0</x:v>
      </x:c>
    </x:row>
    <x:row r="7" ht="24" customHeight="1">
      <x:c r="A7" t="str">
        <x:v>BV-003</x:v>
      </x:c>
      <x:c r="B7" t="str">
        <x:v>BV-006</x:v>
      </x:c>
      <x:c r="C7" s="8" t="str">
        <x:v>Approve Gateway and agent service contracts</x:v>
      </x:c>
      <x:c r="D7" t="str">
        <x:v>P0</x:v>
      </x:c>
      <x:c r="E7" t="str">
        <x:v>P0</x:v>
      </x:c>
    </x:row>
    <x:row r="8" ht="24" customHeight="1">
      <x:c r="A8" t="str">
        <x:v>BV-003</x:v>
      </x:c>
      <x:c r="B8" t="str">
        <x:v>BV-007</x:v>
      </x:c>
      <x:c r="C8" s="8" t="str">
        <x:v>Decide target jurisdiction, hosting, languages and minors scope</x:v>
      </x:c>
      <x:c r="D8" t="str">
        <x:v>P0</x:v>
      </x:c>
      <x:c r="E8" t="str">
        <x:v>P0</x:v>
      </x:c>
    </x:row>
    <x:row r="9" ht="24" customHeight="1">
      <x:c r="A9" t="str">
        <x:v>BV-005</x:v>
      </x:c>
      <x:c r="B9" t="str">
        <x:v>BV-008</x:v>
      </x:c>
      <x:c r="C9" s="8" t="str">
        <x:v>Implement verified-email auth and sessions</x:v>
      </x:c>
      <x:c r="D9" t="str">
        <x:v>P1</x:v>
      </x:c>
      <x:c r="E9" t="str">
        <x:v>P0</x:v>
      </x:c>
    </x:row>
    <x:row r="10" ht="24" customHeight="1">
      <x:c r="A10" t="str">
        <x:v>BV-003</x:v>
      </x:c>
      <x:c r="B10" t="str">
        <x:v>BV-008</x:v>
      </x:c>
      <x:c r="C10" s="8" t="str">
        <x:v>Implement verified-email auth and sessions</x:v>
      </x:c>
      <x:c r="D10" t="str">
        <x:v>P1</x:v>
      </x:c>
      <x:c r="E10" t="str">
        <x:v>P0</x:v>
      </x:c>
    </x:row>
    <x:row r="11" ht="24" customHeight="1">
      <x:c r="A11" t="str">
        <x:v>BV-008</x:v>
      </x:c>
      <x:c r="B11" t="str">
        <x:v>BV-009</x:v>
      </x:c>
      <x:c r="C11" s="8" t="str">
        <x:v>Implement family profiles, authorization grants and audit</x:v>
      </x:c>
      <x:c r="D11" t="str">
        <x:v>P1</x:v>
      </x:c>
      <x:c r="E11" t="str">
        <x:v>P0</x:v>
      </x:c>
    </x:row>
    <x:row r="12" ht="24" customHeight="1">
      <x:c r="A12" t="str">
        <x:v>BV-003</x:v>
      </x:c>
      <x:c r="B12" t="str">
        <x:v>BV-009</x:v>
      </x:c>
      <x:c r="C12" s="8" t="str">
        <x:v>Implement family profiles, authorization grants and audit</x:v>
      </x:c>
      <x:c r="D12" t="str">
        <x:v>P1</x:v>
      </x:c>
      <x:c r="E12" t="str">
        <x:v>P0</x:v>
      </x:c>
    </x:row>
    <x:row r="13" ht="24" customHeight="1">
      <x:c r="A13" t="str">
        <x:v>BV-005</x:v>
      </x:c>
      <x:c r="B13" t="str">
        <x:v>BV-010</x:v>
      </x:c>
      <x:c r="C13" s="8" t="str">
        <x:v>Create canonical health schema and migrations</x:v>
      </x:c>
      <x:c r="D13" t="str">
        <x:v>P1</x:v>
      </x:c>
      <x:c r="E13" t="str">
        <x:v>P0</x:v>
      </x:c>
    </x:row>
    <x:row r="14" ht="24" customHeight="1">
      <x:c r="A14" t="str">
        <x:v>BV-004</x:v>
      </x:c>
      <x:c r="B14" t="str">
        <x:v>BV-010</x:v>
      </x:c>
      <x:c r="C14" s="8" t="str">
        <x:v>Create canonical health schema and migrations</x:v>
      </x:c>
      <x:c r="D14" t="str">
        <x:v>P1</x:v>
      </x:c>
      <x:c r="E14" t="str">
        <x:v>P0</x:v>
      </x:c>
    </x:row>
    <x:row r="15" ht="24" customHeight="1">
      <x:c r="A15" t="str">
        <x:v>BV-005</x:v>
      </x:c>
      <x:c r="B15" t="str">
        <x:v>BV-011</x:v>
      </x:c>
      <x:c r="C15" s="8" t="str">
        <x:v>Create object storage, signed access and async job framework</x:v>
      </x:c>
      <x:c r="D15" t="str">
        <x:v>P1</x:v>
      </x:c>
      <x:c r="E15" t="str">
        <x:v>P0</x:v>
      </x:c>
    </x:row>
    <x:row r="16" ht="24" customHeight="1">
      <x:c r="A16" t="str">
        <x:v>BV-003</x:v>
      </x:c>
      <x:c r="B16" t="str">
        <x:v>BV-011</x:v>
      </x:c>
      <x:c r="C16" s="8" t="str">
        <x:v>Create object storage, signed access and async job framework</x:v>
      </x:c>
      <x:c r="D16" t="str">
        <x:v>P1</x:v>
      </x:c>
      <x:c r="E16" t="str">
        <x:v>P0</x:v>
      </x:c>
    </x:row>
    <x:row r="17" ht="24" customHeight="1">
      <x:c r="A17" t="str">
        <x:v>BV-001</x:v>
      </x:c>
      <x:c r="B17" t="str">
        <x:v>BV-012</x:v>
      </x:c>
      <x:c r="C17" s="8" t="str">
        <x:v>Build app shell, tabs, profile switch, auth screens</x:v>
      </x:c>
      <x:c r="D17" t="str">
        <x:v>P1</x:v>
      </x:c>
      <x:c r="E17" t="str">
        <x:v>P0</x:v>
      </x:c>
    </x:row>
    <x:row r="18" ht="24" customHeight="1">
      <x:c r="A18" t="str">
        <x:v>BV-008</x:v>
      </x:c>
      <x:c r="B18" t="str">
        <x:v>BV-012</x:v>
      </x:c>
      <x:c r="C18" s="8" t="str">
        <x:v>Build app shell, tabs, profile switch, auth screens</x:v>
      </x:c>
      <x:c r="D18" t="str">
        <x:v>P1</x:v>
      </x:c>
      <x:c r="E18" t="str">
        <x:v>P0</x:v>
      </x:c>
    </x:row>
    <x:row r="19" ht="24" customHeight="1">
      <x:c r="A19" t="str">
        <x:v>BV-009</x:v>
      </x:c>
      <x:c r="B19" t="str">
        <x:v>BV-013</x:v>
      </x:c>
      <x:c r="C19" s="8" t="str">
        <x:v>Set contract and permission integration tests</x:v>
      </x:c>
      <x:c r="D19" t="str">
        <x:v>P1</x:v>
      </x:c>
      <x:c r="E19" t="str">
        <x:v>P0</x:v>
      </x:c>
    </x:row>
    <x:row r="20" ht="24" customHeight="1">
      <x:c r="A20" t="str">
        <x:v>BV-010</x:v>
      </x:c>
      <x:c r="B20" t="str">
        <x:v>BV-013</x:v>
      </x:c>
      <x:c r="C20" s="8" t="str">
        <x:v>Set contract and permission integration tests</x:v>
      </x:c>
      <x:c r="D20" t="str">
        <x:v>P1</x:v>
      </x:c>
      <x:c r="E20" t="str">
        <x:v>P0</x:v>
      </x:c>
    </x:row>
    <x:row r="21" ht="24" customHeight="1">
      <x:c r="A21" t="str">
        <x:v>BV-011</x:v>
      </x:c>
      <x:c r="B21" t="str">
        <x:v>BV-013</x:v>
      </x:c>
      <x:c r="C21" s="8" t="str">
        <x:v>Set contract and permission integration tests</x:v>
      </x:c>
      <x:c r="D21" t="str">
        <x:v>P1</x:v>
      </x:c>
      <x:c r="E21" t="str">
        <x:v>P0</x:v>
      </x:c>
    </x:row>
    <x:row r="22" ht="24" customHeight="1">
      <x:c r="A22" t="str">
        <x:v>BV-009</x:v>
      </x:c>
      <x:c r="B22" t="str">
        <x:v>BV-014</x:v>
      </x:c>
      <x:c r="C22" s="8" t="str">
        <x:v>Implement report upload and document identity quarantine</x:v>
      </x:c>
      <x:c r="D22" t="str">
        <x:v>P2</x:v>
      </x:c>
      <x:c r="E22" t="str">
        <x:v>P0</x:v>
      </x:c>
    </x:row>
    <x:row r="23" ht="24" customHeight="1">
      <x:c r="A23" t="str">
        <x:v>BV-010</x:v>
      </x:c>
      <x:c r="B23" t="str">
        <x:v>BV-014</x:v>
      </x:c>
      <x:c r="C23" s="8" t="str">
        <x:v>Implement report upload and document identity quarantine</x:v>
      </x:c>
      <x:c r="D23" t="str">
        <x:v>P2</x:v>
      </x:c>
      <x:c r="E23" t="str">
        <x:v>P0</x:v>
      </x:c>
    </x:row>
    <x:row r="24" ht="24" customHeight="1">
      <x:c r="A24" t="str">
        <x:v>BV-011</x:v>
      </x:c>
      <x:c r="B24" t="str">
        <x:v>BV-014</x:v>
      </x:c>
      <x:c r="C24" s="8" t="str">
        <x:v>Implement report upload and document identity quarantine</x:v>
      </x:c>
      <x:c r="D24" t="str">
        <x:v>P2</x:v>
      </x:c>
      <x:c r="E24" t="str">
        <x:v>P0</x:v>
      </x:c>
    </x:row>
    <x:row r="25" ht="24" customHeight="1">
      <x:c r="A25" t="str">
        <x:v>BV-014</x:v>
      </x:c>
      <x:c r="B25" t="str">
        <x:v>BV-015</x:v>
      </x:c>
      <x:c r="C25" s="8" t="str">
        <x:v>Build OCR adapter and layout-aware extraction pipeline</x:v>
      </x:c>
      <x:c r="D25" t="str">
        <x:v>P2</x:v>
      </x:c>
      <x:c r="E25" t="str">
        <x:v>P0</x:v>
      </x:c>
    </x:row>
    <x:row r="26" ht="24" customHeight="1">
      <x:c r="A26" t="str">
        <x:v>BV-006</x:v>
      </x:c>
      <x:c r="B26" t="str">
        <x:v>BV-015</x:v>
      </x:c>
      <x:c r="C26" s="8" t="str">
        <x:v>Build OCR adapter and layout-aware extraction pipeline</x:v>
      </x:c>
      <x:c r="D26" t="str">
        <x:v>P2</x:v>
      </x:c>
      <x:c r="E26" t="str">
        <x:v>P0</x:v>
      </x:c>
    </x:row>
    <x:row r="27" ht="24" customHeight="1">
      <x:c r="A27" t="str">
        <x:v>BV-015</x:v>
      </x:c>
      <x:c r="B27" t="str">
        <x:v>BV-016</x:v>
      </x:c>
      <x:c r="C27" s="8" t="str">
        <x:v>Build human verification/correction UI</x:v>
      </x:c>
      <x:c r="D27" t="str">
        <x:v>P2</x:v>
      </x:c>
      <x:c r="E27" t="str">
        <x:v>P0</x:v>
      </x:c>
    </x:row>
    <x:row r="28" ht="24" customHeight="1">
      <x:c r="A28" t="str">
        <x:v>BV-012</x:v>
      </x:c>
      <x:c r="B28" t="str">
        <x:v>BV-016</x:v>
      </x:c>
      <x:c r="C28" s="8" t="str">
        <x:v>Build human verification/correction UI</x:v>
      </x:c>
      <x:c r="D28" t="str">
        <x:v>P2</x:v>
      </x:c>
      <x:c r="E28" t="str">
        <x:v>P0</x:v>
      </x:c>
    </x:row>
    <x:row r="29" ht="24" customHeight="1">
      <x:c r="A29" t="str">
        <x:v>BV-010</x:v>
      </x:c>
      <x:c r="B29" t="str">
        <x:v>BV-017</x:v>
      </x:c>
      <x:c r="C29" s="8" t="str">
        <x:v>Implement source observation storage and status changes</x:v>
      </x:c>
      <x:c r="D29" t="str">
        <x:v>P2</x:v>
      </x:c>
      <x:c r="E29" t="str">
        <x:v>P0</x:v>
      </x:c>
    </x:row>
    <x:row r="30" ht="24" customHeight="1">
      <x:c r="A30" t="str">
        <x:v>BV-015</x:v>
      </x:c>
      <x:c r="B30" t="str">
        <x:v>BV-017</x:v>
      </x:c>
      <x:c r="C30" s="8" t="str">
        <x:v>Implement source observation storage and status changes</x:v>
      </x:c>
      <x:c r="D30" t="str">
        <x:v>P2</x:v>
      </x:c>
      <x:c r="E30" t="str">
        <x:v>P0</x:v>
      </x:c>
    </x:row>
    <x:row r="31" ht="24" customHeight="1">
      <x:c r="A31" t="str">
        <x:v>BV-015</x:v>
      </x:c>
      <x:c r="B31" t="str">
        <x:v>BV-018</x:v>
      </x:c>
      <x:c r="C31" s="8" t="str">
        <x:v>Build 50+ synthetic clinical extraction golden cases</x:v>
      </x:c>
      <x:c r="D31" t="str">
        <x:v>P2</x:v>
      </x:c>
      <x:c r="E31" t="str">
        <x:v>P0</x:v>
      </x:c>
    </x:row>
    <x:row r="32" ht="24" customHeight="1">
      <x:c r="A32" t="str">
        <x:v>BV-004</x:v>
      </x:c>
      <x:c r="B32" t="str">
        <x:v>BV-018</x:v>
      </x:c>
      <x:c r="C32" s="8" t="str">
        <x:v>Build 50+ synthetic clinical extraction golden cases</x:v>
      </x:c>
      <x:c r="D32" t="str">
        <x:v>P2</x:v>
      </x:c>
      <x:c r="E32" t="str">
        <x:v>P0</x:v>
      </x:c>
    </x:row>
    <x:row r="33" ht="24" customHeight="1">
      <x:c r="A33" t="str">
        <x:v>BV-017</x:v>
      </x:c>
      <x:c r="B33" t="str">
        <x:v>BV-019</x:v>
      </x:c>
      <x:c r="C33" s="8" t="str">
        <x:v>Implement comparability cohorts and controlled aggregation</x:v>
      </x:c>
      <x:c r="D33" t="str">
        <x:v>P3</x:v>
      </x:c>
      <x:c r="E33" t="str">
        <x:v>P0</x:v>
      </x:c>
    </x:row>
    <x:row r="34" ht="24" customHeight="1">
      <x:c r="A34" t="str">
        <x:v>BV-018</x:v>
      </x:c>
      <x:c r="B34" t="str">
        <x:v>BV-019</x:v>
      </x:c>
      <x:c r="C34" s="8" t="str">
        <x:v>Implement comparability cohorts and controlled aggregation</x:v>
      </x:c>
      <x:c r="D34" t="str">
        <x:v>P3</x:v>
      </x:c>
      <x:c r="E34" t="str">
        <x:v>P0</x:v>
      </x:c>
    </x:row>
    <x:row r="35" ht="24" customHeight="1">
      <x:c r="A35" t="str">
        <x:v>BV-019</x:v>
      </x:c>
      <x:c r="B35" t="str">
        <x:v>BV-020</x:v>
      </x:c>
      <x:c r="C35" s="8" t="str">
        <x:v>Implement versioned longitudinal biomarker trends</x:v>
      </x:c>
      <x:c r="D35" t="str">
        <x:v>P3</x:v>
      </x:c>
      <x:c r="E35" t="str">
        <x:v>P0</x:v>
      </x:c>
    </x:row>
    <x:row r="36" ht="24" customHeight="1">
      <x:c r="A36" t="str">
        <x:v>BV-016</x:v>
      </x:c>
      <x:c r="B36" t="str">
        <x:v>BV-021</x:v>
      </x:c>
      <x:c r="C36" s="8" t="str">
        <x:v>Create health dashboard and report evidence drilldowns</x:v>
      </x:c>
      <x:c r="D36" t="str">
        <x:v>P3</x:v>
      </x:c>
      <x:c r="E36" t="str">
        <x:v>P1</x:v>
      </x:c>
    </x:row>
    <x:row r="37" ht="24" customHeight="1">
      <x:c r="A37" t="str">
        <x:v>BV-020</x:v>
      </x:c>
      <x:c r="B37" t="str">
        <x:v>BV-021</x:v>
      </x:c>
      <x:c r="C37" s="8" t="str">
        <x:v>Create health dashboard and report evidence drilldowns</x:v>
      </x:c>
      <x:c r="D37" t="str">
        <x:v>P3</x:v>
      </x:c>
      <x:c r="E37" t="str">
        <x:v>P1</x:v>
      </x:c>
    </x:row>
    <x:row r="38" ht="24" customHeight="1">
      <x:c r="A38" t="str">
        <x:v>BV-019</x:v>
      </x:c>
      <x:c r="B38" t="str">
        <x:v>BV-022</x:v>
      </x:c>
      <x:c r="C38" s="8" t="str">
        <x:v>Implement cross-report comparison service</x:v>
      </x:c>
      <x:c r="D38" t="str">
        <x:v>P3</x:v>
      </x:c>
      <x:c r="E38" t="str">
        <x:v>P0</x:v>
      </x:c>
    </x:row>
    <x:row r="39" ht="24" customHeight="1">
      <x:c r="A39" t="str">
        <x:v>BV-020</x:v>
      </x:c>
      <x:c r="B39" t="str">
        <x:v>BV-022</x:v>
      </x:c>
      <x:c r="C39" s="8" t="str">
        <x:v>Implement cross-report comparison service</x:v>
      </x:c>
      <x:c r="D39" t="str">
        <x:v>P3</x:v>
      </x:c>
      <x:c r="E39" t="str">
        <x:v>P0</x:v>
      </x:c>
    </x:row>
    <x:row r="40" ht="24" customHeight="1">
      <x:c r="A40" t="str">
        <x:v>BV-021</x:v>
      </x:c>
      <x:c r="B40" t="str">
        <x:v>BV-023</x:v>
      </x:c>
      <x:c r="C40" s="8" t="str">
        <x:v>Validate clinical interpretations and provenance UX</x:v>
      </x:c>
      <x:c r="D40" t="str">
        <x:v>P3</x:v>
      </x:c>
      <x:c r="E40" t="str">
        <x:v>P0</x:v>
      </x:c>
    </x:row>
    <x:row r="41" ht="24" customHeight="1">
      <x:c r="A41" t="str">
        <x:v>BV-022</x:v>
      </x:c>
      <x:c r="B41" t="str">
        <x:v>BV-023</x:v>
      </x:c>
      <x:c r="C41" s="8" t="str">
        <x:v>Validate clinical interpretations and provenance UX</x:v>
      </x:c>
      <x:c r="D41" t="str">
        <x:v>P3</x:v>
      </x:c>
      <x:c r="E41" t="str">
        <x:v>P0</x:v>
      </x:c>
    </x:row>
    <x:row r="42" ht="24" customHeight="1">
      <x:c r="A42" t="str">
        <x:v>BV-006</x:v>
      </x:c>
      <x:c r="B42" t="str">
        <x:v>BV-024</x:v>
      </x:c>
      <x:c r="C42" s="8" t="str">
        <x:v>Implement provider-neutral AI Gateway</x:v>
      </x:c>
      <x:c r="D42" t="str">
        <x:v>P4</x:v>
      </x:c>
      <x:c r="E42" t="str">
        <x:v>P0</x:v>
      </x:c>
    </x:row>
    <x:row r="43" ht="24" customHeight="1">
      <x:c r="A43" t="str">
        <x:v>BV-005</x:v>
      </x:c>
      <x:c r="B43" t="str">
        <x:v>BV-024</x:v>
      </x:c>
      <x:c r="C43" s="8" t="str">
        <x:v>Implement provider-neutral AI Gateway</x:v>
      </x:c>
      <x:c r="D43" t="str">
        <x:v>P4</x:v>
      </x:c>
      <x:c r="E43" t="str">
        <x:v>P0</x:v>
      </x:c>
    </x:row>
    <x:row r="44" ht="24" customHeight="1">
      <x:c r="A44" t="str">
        <x:v>BV-009</x:v>
      </x:c>
      <x:c r="B44" t="str">
        <x:v>BV-025</x:v>
      </x:c>
      <x:c r="C44" s="8" t="str">
        <x:v>Implement permission-checked tool registry and adapters</x:v>
      </x:c>
      <x:c r="D44" t="str">
        <x:v>P4</x:v>
      </x:c>
      <x:c r="E44" t="str">
        <x:v>P0</x:v>
      </x:c>
    </x:row>
    <x:row r="45" ht="24" customHeight="1">
      <x:c r="A45" t="str">
        <x:v>BV-022</x:v>
      </x:c>
      <x:c r="B45" t="str">
        <x:v>BV-025</x:v>
      </x:c>
      <x:c r="C45" s="8" t="str">
        <x:v>Implement permission-checked tool registry and adapters</x:v>
      </x:c>
      <x:c r="D45" t="str">
        <x:v>P4</x:v>
      </x:c>
      <x:c r="E45" t="str">
        <x:v>P0</x:v>
      </x:c>
    </x:row>
    <x:row r="46" ht="24" customHeight="1">
      <x:c r="A46" t="str">
        <x:v>BV-024</x:v>
      </x:c>
      <x:c r="B46" t="str">
        <x:v>BV-025</x:v>
      </x:c>
      <x:c r="C46" s="8" t="str">
        <x:v>Implement permission-checked tool registry and adapters</x:v>
      </x:c>
      <x:c r="D46" t="str">
        <x:v>P4</x:v>
      </x:c>
      <x:c r="E46" t="str">
        <x:v>P0</x:v>
      </x:c>
    </x:row>
    <x:row r="47" ht="24" customHeight="1">
      <x:c r="A47" t="str">
        <x:v>BV-025</x:v>
      </x:c>
      <x:c r="B47" t="str">
        <x:v>BV-026</x:v>
      </x:c>
      <x:c r="C47" s="8" t="str">
        <x:v>Build context manifest and conversation orchestrator</x:v>
      </x:c>
      <x:c r="D47" t="str">
        <x:v>P4</x:v>
      </x:c>
      <x:c r="E47" t="str">
        <x:v>P0</x:v>
      </x:c>
    </x:row>
    <x:row r="48" ht="24" customHeight="1">
      <x:c r="A48" t="str">
        <x:v>BV-026</x:v>
      </x:c>
      <x:c r="B48" t="str">
        <x:v>BV-027</x:v>
      </x:c>
      <x:c r="C48" s="8" t="str">
        <x:v>Build structured chat UI cards and citations</x:v>
      </x:c>
      <x:c r="D48" t="str">
        <x:v>P4</x:v>
      </x:c>
      <x:c r="E48" t="str">
        <x:v>P1</x:v>
      </x:c>
    </x:row>
    <x:row r="49" ht="24" customHeight="1">
      <x:c r="A49" t="str">
        <x:v>BV-012</x:v>
      </x:c>
      <x:c r="B49" t="str">
        <x:v>BV-027</x:v>
      </x:c>
      <x:c r="C49" s="8" t="str">
        <x:v>Build structured chat UI cards and citations</x:v>
      </x:c>
      <x:c r="D49" t="str">
        <x:v>P4</x:v>
      </x:c>
      <x:c r="E49" t="str">
        <x:v>P1</x:v>
      </x:c>
    </x:row>
    <x:row r="50" ht="24" customHeight="1">
      <x:c r="A50" t="str">
        <x:v>BV-026</x:v>
      </x:c>
      <x:c r="B50" t="str">
        <x:v>BV-028</x:v>
      </x:c>
      <x:c r="C50" s="8" t="str">
        <x:v>Run AI injection/PHI and provider regression suite</x:v>
      </x:c>
      <x:c r="D50" t="str">
        <x:v>P4</x:v>
      </x:c>
      <x:c r="E50" t="str">
        <x:v>P0</x:v>
      </x:c>
    </x:row>
    <x:row r="51" ht="24" customHeight="1">
      <x:c r="A51" t="str">
        <x:v>BV-027</x:v>
      </x:c>
      <x:c r="B51" t="str">
        <x:v>BV-028</x:v>
      </x:c>
      <x:c r="C51" s="8" t="str">
        <x:v>Run AI injection/PHI and provider regression suite</x:v>
      </x:c>
      <x:c r="D51" t="str">
        <x:v>P4</x:v>
      </x:c>
      <x:c r="E51" t="str">
        <x:v>P0</x:v>
      </x:c>
    </x:row>
    <x:row r="52" ht="24" customHeight="1">
      <x:c r="A52" t="str">
        <x:v>BV-023</x:v>
      </x:c>
      <x:c r="B52" t="str">
        <x:v>BV-029</x:v>
      </x:c>
      <x:c r="C52" s="8" t="str">
        <x:v>Create consented pilot protocol and qualitative interview plan</x:v>
      </x:c>
      <x:c r="D52" t="str">
        <x:v>P5</x:v>
      </x:c>
      <x:c r="E52" t="str">
        <x:v>P0</x:v>
      </x:c>
    </x:row>
    <x:row r="53" ht="24" customHeight="1">
      <x:c r="A53" t="str">
        <x:v>BV-028</x:v>
      </x:c>
      <x:c r="B53" t="str">
        <x:v>BV-029</x:v>
      </x:c>
      <x:c r="C53" s="8" t="str">
        <x:v>Create consented pilot protocol and qualitative interview plan</x:v>
      </x:c>
      <x:c r="D53" t="str">
        <x:v>P5</x:v>
      </x:c>
      <x:c r="E53" t="str">
        <x:v>P0</x:v>
      </x:c>
    </x:row>
    <x:row r="54" ht="24" customHeight="1">
      <x:c r="A54" t="str">
        <x:v>BV-029</x:v>
      </x:c>
      <x:c r="B54" t="str">
        <x:v>BV-030</x:v>
      </x:c>
      <x:c r="C54" s="8" t="str">
        <x:v>E2E user journeys and accessibility/l10n audit</x:v>
      </x:c>
      <x:c r="D54" t="str">
        <x:v>P5</x:v>
      </x:c>
      <x:c r="E54" t="str">
        <x:v>P0</x:v>
      </x:c>
    </x:row>
    <x:row r="55" ht="24" customHeight="1">
      <x:c r="A55" t="str">
        <x:v>BV-024</x:v>
      </x:c>
      <x:c r="B55" t="str">
        <x:v>BV-031</x:v>
      </x:c>
      <x:c r="C55" s="8" t="str">
        <x:v>Instrument production-like observability and back-up restore</x:v>
      </x:c>
      <x:c r="D55" t="str">
        <x:v>P5</x:v>
      </x:c>
      <x:c r="E55" t="str">
        <x:v>P0</x:v>
      </x:c>
    </x:row>
    <x:row r="56" ht="24" customHeight="1">
      <x:c r="A56" t="str">
        <x:v>BV-011</x:v>
      </x:c>
      <x:c r="B56" t="str">
        <x:v>BV-031</x:v>
      </x:c>
      <x:c r="C56" s="8" t="str">
        <x:v>Instrument production-like observability and back-up restore</x:v>
      </x:c>
      <x:c r="D56" t="str">
        <x:v>P5</x:v>
      </x:c>
      <x:c r="E56" t="str">
        <x:v>P0</x:v>
      </x:c>
    </x:row>
    <x:row r="57" ht="24" customHeight="1">
      <x:c r="A57" t="str">
        <x:v>BV-030</x:v>
      </x:c>
      <x:c r="B57" t="str">
        <x:v>BV-032</x:v>
      </x:c>
      <x:c r="C57" s="8" t="str">
        <x:v>Run controlled health + AI pilot and address defects</x:v>
      </x:c>
      <x:c r="D57" t="str">
        <x:v>P5</x:v>
      </x:c>
      <x:c r="E57" t="str">
        <x:v>P0</x:v>
      </x:c>
    </x:row>
    <x:row r="58" ht="24" customHeight="1">
      <x:c r="A58" t="str">
        <x:v>BV-031</x:v>
      </x:c>
      <x:c r="B58" t="str">
        <x:v>BV-032</x:v>
      </x:c>
      <x:c r="C58" s="8" t="str">
        <x:v>Run controlled health + AI pilot and address defects</x:v>
      </x:c>
      <x:c r="D58" t="str">
        <x:v>P5</x:v>
      </x:c>
      <x:c r="E58" t="str">
        <x:v>P0</x:v>
      </x:c>
    </x:row>
    <x:row r="59" ht="24" customHeight="1">
      <x:c r="A59" t="str">
        <x:v>BV-009</x:v>
      </x:c>
      <x:c r="B59" t="str">
        <x:v>BV-033</x:v>
      </x:c>
      <x:c r="C59" s="8" t="str">
        <x:v>Implement wellness profile, baseline and goal selection</x:v>
      </x:c>
      <x:c r="D59" t="str">
        <x:v>P6</x:v>
      </x:c>
      <x:c r="E59" t="str">
        <x:v>P0</x:v>
      </x:c>
    </x:row>
    <x:row r="60" ht="24" customHeight="1">
      <x:c r="A60" t="str">
        <x:v>BV-012</x:v>
      </x:c>
      <x:c r="B60" t="str">
        <x:v>BV-033</x:v>
      </x:c>
      <x:c r="C60" s="8" t="str">
        <x:v>Implement wellness profile, baseline and goal selection</x:v>
      </x:c>
      <x:c r="D60" t="str">
        <x:v>P6</x:v>
      </x:c>
      <x:c r="E60" t="str">
        <x:v>P0</x:v>
      </x:c>
    </x:row>
    <x:row r="61" ht="24" customHeight="1">
      <x:c r="A61" t="str">
        <x:v>BV-032</x:v>
      </x:c>
      <x:c r="B61" t="str">
        <x:v>BV-033</x:v>
      </x:c>
      <x:c r="C61" s="8" t="str">
        <x:v>Implement wellness profile, baseline and goal selection</x:v>
      </x:c>
      <x:c r="D61" t="str">
        <x:v>P6</x:v>
      </x:c>
      <x:c r="E61" t="str">
        <x:v>P0</x:v>
      </x:c>
    </x:row>
    <x:row r="62" ht="24" customHeight="1">
      <x:c r="A62" t="str">
        <x:v>BV-004</x:v>
      </x:c>
      <x:c r="B62" t="str">
        <x:v>BV-034</x:v>
      </x:c>
      <x:c r="C62" s="8" t="str">
        <x:v>Approve action catalogue and eligibility policies</x:v>
      </x:c>
      <x:c r="D62" t="str">
        <x:v>P6</x:v>
      </x:c>
      <x:c r="E62" t="str">
        <x:v>P0</x:v>
      </x:c>
    </x:row>
    <x:row r="63" ht="24" customHeight="1">
      <x:c r="A63" t="str">
        <x:v>BV-033</x:v>
      </x:c>
      <x:c r="B63" t="str">
        <x:v>BV-034</x:v>
      </x:c>
      <x:c r="C63" s="8" t="str">
        <x:v>Approve action catalogue and eligibility policies</x:v>
      </x:c>
      <x:c r="D63" t="str">
        <x:v>P6</x:v>
      </x:c>
      <x:c r="E63" t="str">
        <x:v>P0</x:v>
      </x:c>
    </x:row>
    <x:row r="64" ht="24" customHeight="1">
      <x:c r="A64" t="str">
        <x:v>BV-033</x:v>
      </x:c>
      <x:c r="B64" t="str">
        <x:v>BV-035</x:v>
      </x:c>
      <x:c r="C64" s="8" t="str">
        <x:v>Implement plan engine and user-selected variants</x:v>
      </x:c>
      <x:c r="D64" t="str">
        <x:v>P6</x:v>
      </x:c>
      <x:c r="E64" t="str">
        <x:v>P0</x:v>
      </x:c>
    </x:row>
    <x:row r="65" ht="24" customHeight="1">
      <x:c r="A65" t="str">
        <x:v>BV-034</x:v>
      </x:c>
      <x:c r="B65" t="str">
        <x:v>BV-035</x:v>
      </x:c>
      <x:c r="C65" s="8" t="str">
        <x:v>Implement plan engine and user-selected variants</x:v>
      </x:c>
      <x:c r="D65" t="str">
        <x:v>P6</x:v>
      </x:c>
      <x:c r="E65" t="str">
        <x:v>P0</x:v>
      </x:c>
    </x:row>
    <x:row r="66" ht="24" customHeight="1">
      <x:c r="A66" t="str">
        <x:v>BV-035</x:v>
      </x:c>
      <x:c r="B66" t="str">
        <x:v>BV-036</x:v>
      </x:c>
      <x:c r="C66" s="8" t="str">
        <x:v>Implement check-ins, barrier and recovery flow</x:v>
      </x:c>
      <x:c r="D66" t="str">
        <x:v>P6</x:v>
      </x:c>
      <x:c r="E66" t="str">
        <x:v>P0</x:v>
      </x:c>
    </x:row>
    <x:row r="67" ht="24" customHeight="1">
      <x:c r="A67" t="str">
        <x:v>BV-035</x:v>
      </x:c>
      <x:c r="B67" t="str">
        <x:v>BV-037</x:v>
      </x:c>
      <x:c r="C67" s="8" t="str">
        <x:v>Add authorized Wellness Coach tools and cards</x:v>
      </x:c>
      <x:c r="D67" t="str">
        <x:v>P6</x:v>
      </x:c>
      <x:c r="E67" t="str">
        <x:v>P1</x:v>
      </x:c>
    </x:row>
    <x:row r="68" ht="24" customHeight="1">
      <x:c r="A68" t="str">
        <x:v>BV-026</x:v>
      </x:c>
      <x:c r="B68" t="str">
        <x:v>BV-037</x:v>
      </x:c>
      <x:c r="C68" s="8" t="str">
        <x:v>Add authorized Wellness Coach tools and cards</x:v>
      </x:c>
      <x:c r="D68" t="str">
        <x:v>P6</x:v>
      </x:c>
      <x:c r="E68" t="str">
        <x:v>P1</x:v>
      </x:c>
    </x:row>
    <x:row r="69" ht="24" customHeight="1">
      <x:c r="A69" t="str">
        <x:v>BV-033</x:v>
      </x:c>
      <x:c r="B69" t="str">
        <x:v>BV-038</x:v>
      </x:c>
      <x:c r="C69" s="8" t="str">
        <x:v>Implement manual vitals/device integration adapter</x:v>
      </x:c>
      <x:c r="D69" t="str">
        <x:v>P6</x:v>
      </x:c>
      <x:c r="E69" t="str">
        <x:v>P1</x:v>
      </x:c>
    </x:row>
    <x:row r="70" ht="24" customHeight="1">
      <x:c r="A70" t="str">
        <x:v>BV-010</x:v>
      </x:c>
      <x:c r="B70" t="str">
        <x:v>BV-038</x:v>
      </x:c>
      <x:c r="C70" s="8" t="str">
        <x:v>Implement manual vitals/device integration adapter</x:v>
      </x:c>
      <x:c r="D70" t="str">
        <x:v>P6</x:v>
      </x:c>
      <x:c r="E70" t="str">
        <x:v>P1</x:v>
      </x:c>
    </x:row>
    <x:row r="71" ht="24" customHeight="1">
      <x:c r="A71" t="str">
        <x:v>BV-036</x:v>
      </x:c>
      <x:c r="B71" t="str">
        <x:v>BV-039</x:v>
      </x:c>
      <x:c r="C71" s="8" t="str">
        <x:v>Implement preference-driven reminders and burden budget</x:v>
      </x:c>
      <x:c r="D71" t="str">
        <x:v>P6</x:v>
      </x:c>
      <x:c r="E71" t="str">
        <x:v>P1</x:v>
      </x:c>
    </x:row>
    <x:row r="72" ht="24" customHeight="1">
      <x:c r="A72" t="str">
        <x:v>BV-036</x:v>
      </x:c>
      <x:c r="B72" t="str">
        <x:v>BV-040</x:v>
      </x:c>
      <x:c r="C72" s="8" t="str">
        <x:v>Instrument sustained behavior and equity metrics</x:v>
      </x:c>
      <x:c r="D72" t="str">
        <x:v>P6</x:v>
      </x:c>
      <x:c r="E72" t="str">
        <x:v>P0</x:v>
      </x:c>
    </x:row>
    <x:row r="73" ht="24" customHeight="1">
      <x:c r="A73" t="str">
        <x:v>BV-038</x:v>
      </x:c>
      <x:c r="B73" t="str">
        <x:v>BV-040</x:v>
      </x:c>
      <x:c r="C73" s="8" t="str">
        <x:v>Instrument sustained behavior and equity metrics</x:v>
      </x:c>
      <x:c r="D73" t="str">
        <x:v>P6</x:v>
      </x:c>
      <x:c r="E73" t="str">
        <x:v>P0</x:v>
      </x:c>
    </x:row>
    <x:row r="74" ht="24" customHeight="1">
      <x:c r="A74" t="str">
        <x:v>BV-036</x:v>
      </x:c>
      <x:c r="B74" t="str">
        <x:v>BV-041</x:v>
      </x:c>
      <x:c r="C74" s="8" t="str">
        <x:v>Run wellness safety, accessibility and adaptation goldens</x:v>
      </x:c>
      <x:c r="D74" t="str">
        <x:v>P6</x:v>
      </x:c>
      <x:c r="E74" t="str">
        <x:v>P0</x:v>
      </x:c>
    </x:row>
    <x:row r="75" ht="24" customHeight="1">
      <x:c r="A75" t="str">
        <x:v>BV-037</x:v>
      </x:c>
      <x:c r="B75" t="str">
        <x:v>BV-041</x:v>
      </x:c>
      <x:c r="C75" s="8" t="str">
        <x:v>Run wellness safety, accessibility and adaptation goldens</x:v>
      </x:c>
      <x:c r="D75" t="str">
        <x:v>P6</x:v>
      </x:c>
      <x:c r="E75" t="str">
        <x:v>P0</x:v>
      </x:c>
    </x:row>
    <x:row r="76" ht="24" customHeight="1">
      <x:c r="A76" t="str">
        <x:v>BV-039</x:v>
      </x:c>
      <x:c r="B76" t="str">
        <x:v>BV-041</x:v>
      </x:c>
      <x:c r="C76" s="8" t="str">
        <x:v>Run wellness safety, accessibility and adaptation goldens</x:v>
      </x:c>
      <x:c r="D76" t="str">
        <x:v>P6</x:v>
      </x:c>
      <x:c r="E76" t="str">
        <x:v>P0</x:v>
      </x:c>
    </x:row>
    <x:row r="77" ht="24" customHeight="1">
      <x:c r="A77" t="str">
        <x:v>BV-040</x:v>
      </x:c>
      <x:c r="B77" t="str">
        <x:v>BV-041</x:v>
      </x:c>
      <x:c r="C77" s="8" t="str">
        <x:v>Run wellness safety, accessibility and adaptation goldens</x:v>
      </x:c>
      <x:c r="D77" t="str">
        <x:v>P6</x:v>
      </x:c>
      <x:c r="E77" t="str">
        <x:v>P0</x:v>
      </x:c>
    </x:row>
    <x:row r="78" ht="24" customHeight="1">
      <x:c r="A78" t="str">
        <x:v>BV-001</x:v>
      </x:c>
      <x:c r="B78" t="str">
        <x:v>BV-042</x:v>
      </x:c>
      <x:c r="C78" s="8" t="str">
        <x:v>Define reviewed source and content-label schema</x:v>
      </x:c>
      <x:c r="D78" t="str">
        <x:v>P7</x:v>
      </x:c>
      <x:c r="E78" t="str">
        <x:v>P1</x:v>
      </x:c>
    </x:row>
    <x:row r="79" ht="24" customHeight="1">
      <x:c r="A79" t="str">
        <x:v>BV-003</x:v>
      </x:c>
      <x:c r="B79" t="str">
        <x:v>BV-042</x:v>
      </x:c>
      <x:c r="C79" s="8" t="str">
        <x:v>Define reviewed source and content-label schema</x:v>
      </x:c>
      <x:c r="D79" t="str">
        <x:v>P7</x:v>
      </x:c>
      <x:c r="E79" t="str">
        <x:v>P1</x:v>
      </x:c>
    </x:row>
    <x:row r="80" ht="24" customHeight="1">
      <x:c r="A80" t="str">
        <x:v>BV-042</x:v>
      </x:c>
      <x:c r="B80" t="str">
        <x:v>BV-043</x:v>
      </x:c>
      <x:c r="C80" s="8" t="str">
        <x:v>Build curated read-only Community feed</x:v>
      </x:c>
      <x:c r="D80" t="str">
        <x:v>P7</x:v>
      </x:c>
      <x:c r="E80" t="str">
        <x:v>P1</x:v>
      </x:c>
    </x:row>
    <x:row r="81" ht="24" customHeight="1">
      <x:c r="A81" t="str">
        <x:v>BV-012</x:v>
      </x:c>
      <x:c r="B81" t="str">
        <x:v>BV-043</x:v>
      </x:c>
      <x:c r="C81" s="8" t="str">
        <x:v>Build curated read-only Community feed</x:v>
      </x:c>
      <x:c r="D81" t="str">
        <x:v>P7</x:v>
      </x:c>
      <x:c r="E81" t="str">
        <x:v>P1</x:v>
      </x:c>
    </x:row>
    <x:row r="82" ht="24" customHeight="1">
      <x:c r="A82" t="str">
        <x:v>BV-043</x:v>
      </x:c>
      <x:c r="B82" t="str">
        <x:v>BV-044</x:v>
      </x:c>
      <x:c r="C82" s="8" t="str">
        <x:v>Implement content submission + moderation queue behind flag</x:v>
      </x:c>
      <x:c r="D82" t="str">
        <x:v>P7</x:v>
      </x:c>
      <x:c r="E82" t="str">
        <x:v>P2</x:v>
      </x:c>
    </x:row>
    <x:row r="83" ht="24" customHeight="1">
      <x:c r="A83" t="str">
        <x:v>BV-024</x:v>
      </x:c>
      <x:c r="B83" t="str">
        <x:v>BV-044</x:v>
      </x:c>
      <x:c r="C83" s="8" t="str">
        <x:v>Implement content submission + moderation queue behind flag</x:v>
      </x:c>
      <x:c r="D83" t="str">
        <x:v>P7</x:v>
      </x:c>
      <x:c r="E83" t="str">
        <x:v>P2</x:v>
      </x:c>
    </x:row>
    <x:row r="84" ht="24" customHeight="1">
      <x:c r="A84" t="str">
        <x:v>BV-044</x:v>
      </x:c>
      <x:c r="B84" t="str">
        <x:v>BV-045</x:v>
      </x:c>
      <x:c r="C84" s="8" t="str">
        <x:v>Pen-test Community-to-Health/AI trust boundary</x:v>
      </x:c>
      <x:c r="D84" t="str">
        <x:v>P7</x:v>
      </x:c>
      <x:c r="E84" t="str">
        <x:v>P0</x:v>
      </x:c>
    </x:row>
    <x:row r="85" ht="24" customHeight="1">
      <x:c r="A85" t="str">
        <x:v>BV-025</x:v>
      </x:c>
      <x:c r="B85" t="str">
        <x:v>BV-045</x:v>
      </x:c>
      <x:c r="C85" s="8" t="str">
        <x:v>Pen-test Community-to-Health/AI trust boundary</x:v>
      </x:c>
      <x:c r="D85" t="str">
        <x:v>P7</x:v>
      </x:c>
      <x:c r="E85" t="str">
        <x:v>P0</x:v>
      </x:c>
    </x:row>
    <x:row r="86" ht="24" customHeight="1">
      <x:c r="A86" t="str">
        <x:v>BV-044</x:v>
      </x:c>
      <x:c r="B86" t="str">
        <x:v>BV-046</x:v>
      </x:c>
      <x:c r="C86" s="8" t="str">
        <x:v>Approve community posting launch separately</x:v>
      </x:c>
      <x:c r="D86" t="str">
        <x:v>P7</x:v>
      </x:c>
      <x:c r="E86" t="str">
        <x:v>P2</x:v>
      </x:c>
    </x:row>
    <x:row r="87" ht="24" customHeight="1">
      <x:c r="A87" t="str">
        <x:v>BV-045</x:v>
      </x:c>
      <x:c r="B87" t="str">
        <x:v>BV-046</x:v>
      </x:c>
      <x:c r="C87" s="8" t="str">
        <x:v>Approve community posting launch separately</x:v>
      </x:c>
      <x:c r="D87" t="str">
        <x:v>P7</x:v>
      </x:c>
      <x:c r="E87" t="str">
        <x:v>P2</x:v>
      </x:c>
    </x:row>
    <x:row r="88" ht="24" customHeight="1">
      <x:c r="A88" t="str">
        <x:v>BV-032</x:v>
      </x:c>
      <x:c r="B88" t="str">
        <x:v>BV-047</x:v>
      </x:c>
      <x:c r="C88" s="8" t="str">
        <x:v>Conduct external security/privacy assessment</x:v>
      </x:c>
      <x:c r="D88" t="str">
        <x:v>P8</x:v>
      </x:c>
      <x:c r="E88" t="str">
        <x:v>P0</x:v>
      </x:c>
    </x:row>
    <x:row r="89" ht="24" customHeight="1">
      <x:c r="A89" t="str">
        <x:v>BV-041</x:v>
      </x:c>
      <x:c r="B89" t="str">
        <x:v>BV-047</x:v>
      </x:c>
      <x:c r="C89" s="8" t="str">
        <x:v>Conduct external security/privacy assessment</x:v>
      </x:c>
      <x:c r="D89" t="str">
        <x:v>P8</x:v>
      </x:c>
      <x:c r="E89" t="str">
        <x:v>P0</x:v>
      </x:c>
    </x:row>
    <x:row r="90" ht="24" customHeight="1">
      <x:c r="A90" t="str">
        <x:v>BV-031</x:v>
      </x:c>
      <x:c r="B90" t="str">
        <x:v>BV-048</x:v>
      </x:c>
      <x:c r="C90" s="8" t="str">
        <x:v>Test rollback, disaster recovery and SLO alerting</x:v>
      </x:c>
      <x:c r="D90" t="str">
        <x:v>P8</x:v>
      </x:c>
      <x:c r="E90" t="str">
        <x:v>P0</x:v>
      </x:c>
    </x:row>
    <x:row r="91" ht="24" customHeight="1">
      <x:c r="A91" t="str">
        <x:v>BV-047</x:v>
      </x:c>
      <x:c r="B91" t="str">
        <x:v>BV-048</x:v>
      </x:c>
      <x:c r="C91" s="8" t="str">
        <x:v>Test rollback, disaster recovery and SLO alerting</x:v>
      </x:c>
      <x:c r="D91" t="str">
        <x:v>P8</x:v>
      </x:c>
      <x:c r="E91" t="str">
        <x:v>P0</x:v>
      </x:c>
    </x:row>
    <x:row r="92" ht="24" customHeight="1">
      <x:c r="A92" t="str">
        <x:v>BV-041</x:v>
      </x:c>
      <x:c r="B92" t="str">
        <x:v>BV-049</x:v>
      </x:c>
      <x:c r="C92" s="8" t="str">
        <x:v>Complete localization, RTL and accessibility audit</x:v>
      </x:c>
      <x:c r="D92" t="str">
        <x:v>P8</x:v>
      </x:c>
      <x:c r="E92" t="str">
        <x:v>P0</x:v>
      </x:c>
    </x:row>
    <x:row r="93" ht="24" customHeight="1">
      <x:c r="A93" t="str">
        <x:v>BV-043</x:v>
      </x:c>
      <x:c r="B93" t="str">
        <x:v>BV-049</x:v>
      </x:c>
      <x:c r="C93" s="8" t="str">
        <x:v>Complete localization, RTL and accessibility audit</x:v>
      </x:c>
      <x:c r="D93" t="str">
        <x:v>P8</x:v>
      </x:c>
      <x:c r="E93" t="str">
        <x:v>P0</x:v>
      </x:c>
    </x:row>
    <x:row r="94" ht="24" customHeight="1">
      <x:c r="A94" t="str">
        <x:v>BV-047</x:v>
      </x:c>
      <x:c r="B94" t="str">
        <x:v>BV-050</x:v>
      </x:c>
      <x:c r="C94" s="8" t="str">
        <x:v>Approve jurisdiction, product claims and clinical disclaimers</x:v>
      </x:c>
      <x:c r="D94" t="str">
        <x:v>P8</x:v>
      </x:c>
      <x:c r="E94" t="str">
        <x:v>P0</x:v>
      </x:c>
    </x:row>
    <x:row r="95" ht="24" customHeight="1">
      <x:c r="A95" t="str">
        <x:v>BV-049</x:v>
      </x:c>
      <x:c r="B95" t="str">
        <x:v>BV-050</x:v>
      </x:c>
      <x:c r="C95" s="8" t="str">
        <x:v>Approve jurisdiction, product claims and clinical disclaimers</x:v>
      </x:c>
      <x:c r="D95" t="str">
        <x:v>P8</x:v>
      </x:c>
      <x:c r="E95" t="str">
        <x:v>P0</x:v>
      </x:c>
    </x:row>
    <x:row r="96" ht="24" customHeight="1">
      <x:c r="A96" t="str">
        <x:v>BV-048</x:v>
      </x:c>
      <x:c r="B96" t="str">
        <x:v>BV-051</x:v>
      </x:c>
      <x:c r="C96" s="8" t="str">
        <x:v>Controlled rollout with feature flags and kill switches</x:v>
      </x:c>
      <x:c r="D96" t="str">
        <x:v>P8</x:v>
      </x:c>
      <x:c r="E96" t="str">
        <x:v>P0</x:v>
      </x:c>
    </x:row>
    <x:row r="97" ht="24" customHeight="1">
      <x:c r="A97" t="str">
        <x:v>BV-050</x:v>
      </x:c>
      <x:c r="B97" t="str">
        <x:v>BV-051</x:v>
      </x:c>
      <x:c r="C97" s="8" t="str">
        <x:v>Controlled rollout with feature flags and kill switches</x:v>
      </x:c>
      <x:c r="D97" t="str">
        <x:v>P8</x:v>
      </x:c>
      <x:c r="E97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5073ce1aa820425a"/>
  </x:tableParts>
</x:worksheet>
</file>